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space\COIN\ML_HDD\"/>
    </mc:Choice>
  </mc:AlternateContent>
  <xr:revisionPtr revIDLastSave="0" documentId="13_ncr:1_{70E0043A-D564-4FF6-BF33-1ED67BC3F3A7}" xr6:coauthVersionLast="47" xr6:coauthVersionMax="47" xr10:uidLastSave="{00000000-0000-0000-0000-000000000000}"/>
  <bookViews>
    <workbookView xWindow="-120" yWindow="-120" windowWidth="29040" windowHeight="16440" tabRatio="796" activeTab="5" xr2:uid="{00000000-000D-0000-FFFF-FFFF00000000}"/>
  </bookViews>
  <sheets>
    <sheet name="all_features" sheetId="1" r:id="rId1"/>
    <sheet name="cat" sheetId="33" r:id="rId2"/>
    <sheet name="log" sheetId="25" r:id="rId3"/>
    <sheet name="log2" sheetId="27" r:id="rId4"/>
    <sheet name="log3" sheetId="29" r:id="rId5"/>
    <sheet name="forward_log" sheetId="34" r:id="rId6"/>
    <sheet name="rev_rfe_test" sheetId="30" r:id="rId7"/>
    <sheet name="backward_test" sheetId="31" r:id="rId8"/>
    <sheet name="test3" sheetId="32" r:id="rId9"/>
    <sheet name="group" sheetId="28" r:id="rId10"/>
    <sheet name="setting" sheetId="2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4" l="1"/>
  <c r="C6" i="34"/>
  <c r="C20" i="34"/>
  <c r="C2" i="33"/>
  <c r="C30" i="34"/>
  <c r="C31" i="34"/>
  <c r="C47" i="34"/>
  <c r="C48" i="34"/>
  <c r="C32" i="34"/>
  <c r="C33" i="34"/>
  <c r="C34" i="34"/>
  <c r="C35" i="34"/>
  <c r="C36" i="34"/>
  <c r="C21" i="34"/>
  <c r="C49" i="34"/>
  <c r="C37" i="34"/>
  <c r="C22" i="34"/>
  <c r="C11" i="34"/>
  <c r="C38" i="34"/>
  <c r="C39" i="34"/>
  <c r="C12" i="34"/>
  <c r="C40" i="34"/>
  <c r="C41" i="34"/>
  <c r="C42" i="34"/>
  <c r="C23" i="34"/>
  <c r="C24" i="34"/>
  <c r="C7" i="34"/>
  <c r="C8" i="34"/>
  <c r="C25" i="34"/>
  <c r="C26" i="34"/>
  <c r="C13" i="34"/>
  <c r="C43" i="34"/>
  <c r="C27" i="34"/>
  <c r="C9" i="34"/>
  <c r="C44" i="34"/>
  <c r="C50" i="34"/>
  <c r="C45" i="34"/>
  <c r="C2" i="34"/>
  <c r="C28" i="34"/>
  <c r="C29" i="34"/>
  <c r="C46" i="34"/>
  <c r="C3" i="34"/>
  <c r="C14" i="34"/>
  <c r="C15" i="34"/>
  <c r="C16" i="34"/>
  <c r="C4" i="34"/>
  <c r="C17" i="34"/>
  <c r="C18" i="34"/>
  <c r="C10" i="34"/>
  <c r="C5" i="34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G3" i="30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3" i="31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2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" i="29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</calcChain>
</file>

<file path=xl/sharedStrings.xml><?xml version="1.0" encoding="utf-8"?>
<sst xmlns="http://schemas.openxmlformats.org/spreadsheetml/2006/main" count="4585" uniqueCount="1542">
  <si>
    <t>group_name</t>
  </si>
  <si>
    <t>feature_name</t>
  </si>
  <si>
    <t>min</t>
  </si>
  <si>
    <t>q25</t>
  </si>
  <si>
    <t>median</t>
  </si>
  <si>
    <t>q75</t>
  </si>
  <si>
    <t>max</t>
  </si>
  <si>
    <t>mean</t>
  </si>
  <si>
    <t>std</t>
  </si>
  <si>
    <t>ks_stat</t>
  </si>
  <si>
    <t>Burst 이상</t>
  </si>
  <si>
    <t>s187_14d_burst_index</t>
  </si>
  <si>
    <t>multi_error_count</t>
  </si>
  <si>
    <t>smart_189_raw</t>
  </si>
  <si>
    <t>s192_14d_burst</t>
  </si>
  <si>
    <t>s189_28d_highfly_burst</t>
  </si>
  <si>
    <t>s189_28d_sum</t>
  </si>
  <si>
    <t>s189_28d_max</t>
  </si>
  <si>
    <t>s189_diff</t>
  </si>
  <si>
    <t>Reallocated / Pending</t>
  </si>
  <si>
    <t>reallocated_pending_ratio</t>
  </si>
  <si>
    <t>s5_relative_score_14d</t>
  </si>
  <si>
    <t>s5_28d_sum</t>
  </si>
  <si>
    <t>s5_28d_max</t>
  </si>
  <si>
    <t>s5_14d_sum</t>
  </si>
  <si>
    <t>s5_14d_max</t>
  </si>
  <si>
    <t>pending_to_offline_ratio</t>
  </si>
  <si>
    <t>Sector 열화</t>
  </si>
  <si>
    <t>smart_187_raw</t>
  </si>
  <si>
    <t>s187_error_rate</t>
  </si>
  <si>
    <t>smart_198_raw</t>
  </si>
  <si>
    <t>smart_197_raw</t>
  </si>
  <si>
    <t>s198_error_rate</t>
  </si>
  <si>
    <t>error_density_14d</t>
  </si>
  <si>
    <t>s197_28d_max</t>
  </si>
  <si>
    <t>s198_28d_max</t>
  </si>
  <si>
    <t>s187_28d_sum</t>
  </si>
  <si>
    <t>s187_28d_max</t>
  </si>
  <si>
    <t>s197_28d_sum</t>
  </si>
  <si>
    <t>s198_28d_sum</t>
  </si>
  <si>
    <t>s197_14d_max</t>
  </si>
  <si>
    <t>s198_14d_max</t>
  </si>
  <si>
    <t>s197_14d_sum</t>
  </si>
  <si>
    <t>s198_14d_sum</t>
  </si>
  <si>
    <t>s187_14d_sum</t>
  </si>
  <si>
    <t>s187_14d_max</t>
  </si>
  <si>
    <t>cumulative_error_score</t>
  </si>
  <si>
    <t>s198_diff</t>
  </si>
  <si>
    <t>s197_diff</t>
  </si>
  <si>
    <t>s187_diff</t>
  </si>
  <si>
    <t>s197_recovery_flag</t>
  </si>
  <si>
    <t>error_saturation_score</t>
  </si>
  <si>
    <t>Seek 경로 이상</t>
  </si>
  <si>
    <t>timeout_seek_density</t>
  </si>
  <si>
    <t>seek_error_density</t>
  </si>
  <si>
    <t>seek_error_count_28d_sum</t>
  </si>
  <si>
    <t>seek_error_count_28d_max</t>
  </si>
  <si>
    <t>seek_error_count_14d_sum</t>
  </si>
  <si>
    <t>seek_error_count_14d_max</t>
  </si>
  <si>
    <t>seek_error_count_diff</t>
  </si>
  <si>
    <t>age_weighted_seek_error</t>
  </si>
  <si>
    <t>seek_error_14d_spike_ratio</t>
  </si>
  <si>
    <t>과거 누적 발생</t>
  </si>
  <si>
    <t>s187_ever_flag</t>
  </si>
  <si>
    <t>s5_ever_flag</t>
  </si>
  <si>
    <t>급성 Spike</t>
  </si>
  <si>
    <t>uncorrectable_spike_ratio</t>
  </si>
  <si>
    <t>write_spike_ratio</t>
  </si>
  <si>
    <t>seek_spike_ratio</t>
  </si>
  <si>
    <t>read_spike_ratio</t>
  </si>
  <si>
    <t>기계적 충격</t>
  </si>
  <si>
    <t>s191_days_since_last</t>
  </si>
  <si>
    <t>s191_28d_max</t>
  </si>
  <si>
    <t>s191_14d_max</t>
  </si>
  <si>
    <t>s191_14d_sum</t>
  </si>
  <si>
    <t>s191_28d_sum</t>
  </si>
  <si>
    <t>s191_diff</t>
  </si>
  <si>
    <t>smart_191_raw</t>
  </si>
  <si>
    <t>shock_fatigue_rate</t>
  </si>
  <si>
    <t>shock_seek_interaction</t>
  </si>
  <si>
    <t>기본 I/O 이상</t>
  </si>
  <si>
    <t>io_asymmetry_index</t>
  </si>
  <si>
    <t>timeout_total</t>
  </si>
  <si>
    <t>timeout_read_density</t>
  </si>
  <si>
    <t>timeout_total_28d_sum</t>
  </si>
  <si>
    <t>timeout_total_28d_max</t>
  </si>
  <si>
    <t>timeout_total_14d_sum</t>
  </si>
  <si>
    <t>timeout_total_14d_max</t>
  </si>
  <si>
    <t>s199_error_density</t>
  </si>
  <si>
    <t>smart_199_raw</t>
  </si>
  <si>
    <t>timeout_5s</t>
  </si>
  <si>
    <t>timeout_total_diff</t>
  </si>
  <si>
    <t>s199_days_since_last</t>
  </si>
  <si>
    <t>timeout_severity_score</t>
  </si>
  <si>
    <t>timeout_5s_28d_sum</t>
  </si>
  <si>
    <t>timeout_5s_28d_max</t>
  </si>
  <si>
    <t>timeout_5s_14d_sum</t>
  </si>
  <si>
    <t>timeout_5s_14d_max</t>
  </si>
  <si>
    <t>timeout_to_uncorrectable_lag1</t>
  </si>
  <si>
    <t>timeout_5s_diff</t>
  </si>
  <si>
    <t>s199_28d_max</t>
  </si>
  <si>
    <t>s199_28d_sum</t>
  </si>
  <si>
    <t>s199_14d_burst</t>
  </si>
  <si>
    <t>s199_14d_sum</t>
  </si>
  <si>
    <t>s199_diff</t>
  </si>
  <si>
    <t>s199_14d_max</t>
  </si>
  <si>
    <t>누적 사용량</t>
  </si>
  <si>
    <t>smart_9_raw</t>
  </si>
  <si>
    <t>물리 스트레스 상호작용</t>
  </si>
  <si>
    <t>shock_to_highfly_ratio</t>
  </si>
  <si>
    <t>fatal_crash_interaction</t>
  </si>
  <si>
    <t>log_shock_fly_interaction</t>
  </si>
  <si>
    <t>시스템성 실패</t>
  </si>
  <si>
    <t>zero_to_hero_count</t>
  </si>
  <si>
    <t>smart_184_raw</t>
  </si>
  <si>
    <t>s184_14d_max</t>
  </si>
  <si>
    <t>s184_14d_sum</t>
  </si>
  <si>
    <t>s184_7d_max</t>
  </si>
  <si>
    <t>s184_7d_sum</t>
  </si>
  <si>
    <t>s184_3d_max</t>
  </si>
  <si>
    <t>s184_3d_sum</t>
  </si>
  <si>
    <t>data_corruption_hazard</t>
  </si>
  <si>
    <t>s184_diff</t>
  </si>
  <si>
    <t>s184_1d_crash_flag</t>
  </si>
  <si>
    <t>cascading_failure_flag</t>
  </si>
  <si>
    <t>열 스트레스</t>
  </si>
  <si>
    <t>s190_28d_mean</t>
  </si>
  <si>
    <t>s190_28d_ewma</t>
  </si>
  <si>
    <t>s190_14d_max</t>
  </si>
  <si>
    <t>s190_7d_max</t>
  </si>
  <si>
    <t>s190_14d_mean</t>
  </si>
  <si>
    <t>s190_14d_ewma</t>
  </si>
  <si>
    <t>s190_28d_zscore</t>
  </si>
  <si>
    <t>s190_7d_mean</t>
  </si>
  <si>
    <t>s190_7d_ewma</t>
  </si>
  <si>
    <t>s190_28d_max</t>
  </si>
  <si>
    <t>s190_28d_dai</t>
  </si>
  <si>
    <t>s190_28d_std</t>
  </si>
  <si>
    <t>s190_14d_cid</t>
  </si>
  <si>
    <t>s190_14d_dai</t>
  </si>
  <si>
    <t>s190_14d_asfd</t>
  </si>
  <si>
    <t>smart_190_raw</t>
  </si>
  <si>
    <t>s190_28d_cid</t>
  </si>
  <si>
    <t>s190_14d_std</t>
  </si>
  <si>
    <t>s190_28d_asfd</t>
  </si>
  <si>
    <t>s190_7d_cid</t>
  </si>
  <si>
    <t>s190_14d_zscore</t>
  </si>
  <si>
    <t>s190_7d_asfd</t>
  </si>
  <si>
    <t>s190_7d_std</t>
  </si>
  <si>
    <t>s190_7d_zscore</t>
  </si>
  <si>
    <t>s190_7d_dai</t>
  </si>
  <si>
    <t>thermal_fatigue_integral_7d</t>
  </si>
  <si>
    <t>temp_error_index</t>
  </si>
  <si>
    <t>s190_diff</t>
  </si>
  <si>
    <t>온도 수준</t>
  </si>
  <si>
    <t>s194_28d_mean</t>
  </si>
  <si>
    <t>s194_28d_ewma</t>
  </si>
  <si>
    <t>s194_14d_max</t>
  </si>
  <si>
    <t>s194_7d_max</t>
  </si>
  <si>
    <t>s194_28d_zscore</t>
  </si>
  <si>
    <t>s194_14d_ewma</t>
  </si>
  <si>
    <t>s194_14d_mean</t>
  </si>
  <si>
    <t>s194_7d_ewma</t>
  </si>
  <si>
    <t>s194_7d_mean</t>
  </si>
  <si>
    <t>s194_28d_dai</t>
  </si>
  <si>
    <t>s194_28d_max</t>
  </si>
  <si>
    <t>s194_14d_dai</t>
  </si>
  <si>
    <t>s194_28d_std</t>
  </si>
  <si>
    <t>s194_14d_cid</t>
  </si>
  <si>
    <t>smart_194_raw</t>
  </si>
  <si>
    <t>s194_14d_asfd</t>
  </si>
  <si>
    <t>s194_14d_std</t>
  </si>
  <si>
    <t>s194_14d_zscore</t>
  </si>
  <si>
    <t>s194_28d_cid</t>
  </si>
  <si>
    <t>s194_28d_asfd</t>
  </si>
  <si>
    <t>s194_7d_cid</t>
  </si>
  <si>
    <t>s194_7d_asfd</t>
  </si>
  <si>
    <t>s194_7d_std</t>
  </si>
  <si>
    <t>s194_7d_zscore</t>
  </si>
  <si>
    <t>s194_7d_dai</t>
  </si>
  <si>
    <t>thermal_stress_index</t>
  </si>
  <si>
    <t>s194_over40_7d_count</t>
  </si>
  <si>
    <t>s194_diff</t>
  </si>
  <si>
    <t>읽기/쓰기 안정성</t>
  </si>
  <si>
    <t>smart_183_raw</t>
  </si>
  <si>
    <t>s183_28d_sum</t>
  </si>
  <si>
    <t>s183_28d_max</t>
  </si>
  <si>
    <t>write_stability_ratio</t>
  </si>
  <si>
    <t>s183_14d_sum</t>
  </si>
  <si>
    <t>s183_14d_max</t>
  </si>
  <si>
    <t>s183_diff</t>
  </si>
  <si>
    <t>지속 악화</t>
  </si>
  <si>
    <t>error_growth_ratio</t>
  </si>
  <si>
    <t>late_stage_degradation</t>
  </si>
  <si>
    <t>s197_7d_straight_rise</t>
  </si>
  <si>
    <t>recovery_failure_flag</t>
  </si>
  <si>
    <t>직접 손상 발생</t>
  </si>
  <si>
    <t>s187_damaged</t>
  </si>
  <si>
    <t>s197_damaged</t>
  </si>
  <si>
    <t>s198_damaged</t>
  </si>
  <si>
    <t>s5_damaged</t>
  </si>
  <si>
    <t>smart_5_raw</t>
  </si>
  <si>
    <t>s5_diff</t>
  </si>
  <si>
    <t>s5_daily_failure_speed</t>
  </si>
  <si>
    <t>seek_damaged</t>
  </si>
  <si>
    <t>timeout_5s_damaged</t>
  </si>
  <si>
    <t>총 기록량</t>
  </si>
  <si>
    <t>s241_28d_asfd</t>
  </si>
  <si>
    <t>s241_28d_max</t>
  </si>
  <si>
    <t>s241_diff</t>
  </si>
  <si>
    <t>s241_14d_sum</t>
  </si>
  <si>
    <t>s241_28d_mean</t>
  </si>
  <si>
    <t>s241_14d_asfd</t>
  </si>
  <si>
    <t>s241_28d_sum</t>
  </si>
  <si>
    <t>s241_14d_mean</t>
  </si>
  <si>
    <t>s241_7d_asfd</t>
  </si>
  <si>
    <t>s241_7d_ewma</t>
  </si>
  <si>
    <t>s241_7d_sum</t>
  </si>
  <si>
    <t>s241_14d_max</t>
  </si>
  <si>
    <t>s241_28d_ewma</t>
  </si>
  <si>
    <t>s241_14d_ewma</t>
  </si>
  <si>
    <t>s241_7d_mean</t>
  </si>
  <si>
    <t>s241_7d_max</t>
  </si>
  <si>
    <t>s241_7d_std</t>
  </si>
  <si>
    <t>s241_14d_std</t>
  </si>
  <si>
    <t>s241_28d_std</t>
  </si>
  <si>
    <t>smart_241_raw</t>
  </si>
  <si>
    <t>s241_7d_accel</t>
  </si>
  <si>
    <t>s241_14d_accel</t>
  </si>
  <si>
    <t>s241_28d_accel</t>
  </si>
  <si>
    <t>s241_28d_dai</t>
  </si>
  <si>
    <t>s241_7d_dai</t>
  </si>
  <si>
    <t>s241_14d_dai</t>
  </si>
  <si>
    <t>s241_28d_zscore</t>
  </si>
  <si>
    <t>s241_7d_zscore</t>
  </si>
  <si>
    <t>s241_14d_zscore</t>
  </si>
  <si>
    <t>총 읽기량</t>
  </si>
  <si>
    <t>smart_242_raw</t>
  </si>
  <si>
    <t>s242_28d_std</t>
  </si>
  <si>
    <t>s242_28d_asfd</t>
  </si>
  <si>
    <t>s242_28d_max</t>
  </si>
  <si>
    <t>s242_14d_std</t>
  </si>
  <si>
    <t>s242_14d_asfd</t>
  </si>
  <si>
    <t>s242_7d_asfd</t>
  </si>
  <si>
    <t>total_reads_28d_asfd</t>
  </si>
  <si>
    <t>total_reads_14d_asfd</t>
  </si>
  <si>
    <t>s242_28d_mean</t>
  </si>
  <si>
    <t>s242_7d_std</t>
  </si>
  <si>
    <t>total_reads_14d_max</t>
  </si>
  <si>
    <t>total_reads_28d_max</t>
  </si>
  <si>
    <t>s242_14d_mean</t>
  </si>
  <si>
    <t>s242_7d_max</t>
  </si>
  <si>
    <t>s242_diff</t>
  </si>
  <si>
    <t>total_reads_7d_max</t>
  </si>
  <si>
    <t>s242_14d_max</t>
  </si>
  <si>
    <t>s242_7d_mean</t>
  </si>
  <si>
    <t>s242_7d_ewma</t>
  </si>
  <si>
    <t>s242_14d_ewma</t>
  </si>
  <si>
    <t>s242_28d_sum</t>
  </si>
  <si>
    <t>s242_7d_sum</t>
  </si>
  <si>
    <t>s242_28d_ewma</t>
  </si>
  <si>
    <t>s242_14d_sum</t>
  </si>
  <si>
    <t>total_reads_28d_std</t>
  </si>
  <si>
    <t>s242_7d_dai</t>
  </si>
  <si>
    <t>seek_error_count</t>
  </si>
  <si>
    <t>s242_14d_dai</t>
  </si>
  <si>
    <t>s242_28d_dai</t>
  </si>
  <si>
    <t>total_reads_7d_asfd</t>
  </si>
  <si>
    <t>s242_28d_zscore</t>
  </si>
  <si>
    <t>total_reads_14d_std</t>
  </si>
  <si>
    <t>s242_14d_accel</t>
  </si>
  <si>
    <t>s242_28d_accel</t>
  </si>
  <si>
    <t>s242_7d_accel</t>
  </si>
  <si>
    <t>s242_14d_zscore</t>
  </si>
  <si>
    <t>total_reads_28d_zscore</t>
  </si>
  <si>
    <t>total_reads_diff</t>
  </si>
  <si>
    <t>total_reads_7d_dai</t>
  </si>
  <si>
    <t>total_reads_14d_dai</t>
  </si>
  <si>
    <t>total_reads_7d_ewma</t>
  </si>
  <si>
    <t>total_reads_7d_std</t>
  </si>
  <si>
    <t>total_reads_14d_zscore</t>
  </si>
  <si>
    <t>s242_7d_zscore</t>
  </si>
  <si>
    <t>total_reads_7d_zscore</t>
  </si>
  <si>
    <t>total_reads_28d_dai</t>
  </si>
  <si>
    <t>total_reads_7d_accel</t>
  </si>
  <si>
    <t>total_reads_14d_accel</t>
  </si>
  <si>
    <t>total_reads_28d_accel</t>
  </si>
  <si>
    <t>total_reads</t>
  </si>
  <si>
    <t>total_reads_14d_ewma</t>
  </si>
  <si>
    <t>total_reads_28d_ewma</t>
  </si>
  <si>
    <t>total_reads_7d_sum</t>
  </si>
  <si>
    <t>total_reads_28d_sum</t>
  </si>
  <si>
    <t>total_reads_7d_mean</t>
  </si>
  <si>
    <t>total_reads_28d_mean</t>
  </si>
  <si>
    <t>total_reads_14d_mean</t>
  </si>
  <si>
    <t>total_reads_14d_sum</t>
  </si>
  <si>
    <t>총 탐색량</t>
  </si>
  <si>
    <t>total_seeks_28d_asfd</t>
  </si>
  <si>
    <t>total_seeks_7d_asfd</t>
  </si>
  <si>
    <t>total_seeks_14d_asfd</t>
  </si>
  <si>
    <t>total_seeks_7d_std</t>
  </si>
  <si>
    <t>total_seeks_14d_max</t>
  </si>
  <si>
    <t>total_seeks_28d_max</t>
  </si>
  <si>
    <t>total_seeks_28d_std</t>
  </si>
  <si>
    <t>total_seeks_14d_std</t>
  </si>
  <si>
    <t>total_seeks_7d_max</t>
  </si>
  <si>
    <t>total_seeks</t>
  </si>
  <si>
    <t>total_seeks_diff</t>
  </si>
  <si>
    <t>total_seeks_14d_sum</t>
  </si>
  <si>
    <t>total_seeks_7d_accel</t>
  </si>
  <si>
    <t>total_seeks_14d_accel</t>
  </si>
  <si>
    <t>total_seeks_28d_accel</t>
  </si>
  <si>
    <t>total_seeks_7d_sum</t>
  </si>
  <si>
    <t>total_seeks_28d_sum</t>
  </si>
  <si>
    <t>total_seeks_14d_mean</t>
  </si>
  <si>
    <t>total_seeks_7d_mean</t>
  </si>
  <si>
    <t>total_seeks_7d_dai</t>
  </si>
  <si>
    <t>total_seeks_14d_ewma</t>
  </si>
  <si>
    <t>total_seeks_28d_mean</t>
  </si>
  <si>
    <t>total_seeks_7d_ewma</t>
  </si>
  <si>
    <t>total_seeks_28d_ewma</t>
  </si>
  <si>
    <t>total_seeks_14d_dai</t>
  </si>
  <si>
    <t>total_seeks_28d_dai</t>
  </si>
  <si>
    <t>total_seeks_28d_zscore</t>
  </si>
  <si>
    <t>total_seeks_7d_zscore</t>
  </si>
  <si>
    <t>total_seeks_14d_zscore</t>
  </si>
  <si>
    <t>최근 발생 시점</t>
  </si>
  <si>
    <t>timeout_total_days_since_last</t>
  </si>
  <si>
    <t>최근 부하 압력</t>
  </si>
  <si>
    <t>workload_intensity</t>
  </si>
  <si>
    <t>age_weighted_workload</t>
  </si>
  <si>
    <t>workload_7d_accel</t>
  </si>
  <si>
    <t>is_warmup_14d</t>
  </si>
  <si>
    <t>is_warmup_28d</t>
  </si>
  <si>
    <t>is_warmup_7d</t>
  </si>
  <si>
    <t>최초 발생 시점</t>
  </si>
  <si>
    <t>s187_days_since_first</t>
  </si>
  <si>
    <t>s5_days_since_first</t>
  </si>
  <si>
    <t>펌웨어 실패</t>
  </si>
  <si>
    <t>firmware_struggle_index</t>
  </si>
  <si>
    <t>note</t>
    <phoneticPr fontId="1" type="noConversion"/>
  </si>
  <si>
    <t>가치 없음 (KS &lt; 0.01)</t>
    <phoneticPr fontId="1" type="noConversion"/>
  </si>
  <si>
    <t>가치 없음 (상수)</t>
    <phoneticPr fontId="1" type="noConversion"/>
  </si>
  <si>
    <t>그룹내 고상관 제거</t>
  </si>
  <si>
    <t>그룹내 고상관 제거</t>
    <phoneticPr fontId="1" type="noConversion"/>
  </si>
  <si>
    <t>exp_id</t>
  </si>
  <si>
    <t>base_exp</t>
    <phoneticPr fontId="3" type="noConversion"/>
  </si>
  <si>
    <t>change</t>
  </si>
  <si>
    <t>CV PR-AUC</t>
    <phoneticPr fontId="3" type="noConversion"/>
  </si>
  <si>
    <t>CV std</t>
    <phoneticPr fontId="3" type="noConversion"/>
  </si>
  <si>
    <t>test PR-AUC</t>
    <phoneticPr fontId="3" type="noConversion"/>
  </si>
  <si>
    <t>note</t>
    <phoneticPr fontId="3" type="noConversion"/>
  </si>
  <si>
    <t>피처개수</t>
    <phoneticPr fontId="3" type="noConversion"/>
  </si>
  <si>
    <t>exp_001</t>
    <phoneticPr fontId="3" type="noConversion"/>
  </si>
  <si>
    <t>none</t>
    <phoneticPr fontId="3" type="noConversion"/>
  </si>
  <si>
    <t>baseline</t>
    <phoneticPr fontId="3" type="noConversion"/>
  </si>
  <si>
    <t>원본 변수만 사용</t>
    <phoneticPr fontId="3" type="noConversion"/>
  </si>
  <si>
    <t>exp_002</t>
  </si>
  <si>
    <t>rfe_sample_train.parquet 원본</t>
    <phoneticPr fontId="3" type="noConversion"/>
  </si>
  <si>
    <t>exp_003</t>
  </si>
  <si>
    <t>- feature_remove_v1.json</t>
    <phoneticPr fontId="3" type="noConversion"/>
  </si>
  <si>
    <t>KS &lt; 0.01 + 도메인 지식 기반 제거</t>
    <phoneticPr fontId="3" type="noConversion"/>
  </si>
  <si>
    <t>exp_004</t>
  </si>
  <si>
    <t>- feature_remove_v2.json</t>
    <phoneticPr fontId="3" type="noConversion"/>
  </si>
  <si>
    <t>Spearman |rho| &gt; 0.9 + 도메인 지식 기반 제거</t>
    <phoneticPr fontId="3" type="noConversion"/>
  </si>
  <si>
    <t>exp_005</t>
  </si>
  <si>
    <t>- s197</t>
    <phoneticPr fontId="3" type="noConversion"/>
  </si>
  <si>
    <t>변수중요도 1위 s197을 제거 -&gt; 점수 소폭 하락</t>
    <phoneticPr fontId="3" type="noConversion"/>
  </si>
  <si>
    <t>exp_006</t>
  </si>
  <si>
    <t>exp_004</t>
    <phoneticPr fontId="3" type="noConversion"/>
  </si>
  <si>
    <t>- s197 - s198</t>
    <phoneticPr fontId="3" type="noConversion"/>
  </si>
  <si>
    <t>s197, s198 제거 -&gt; s198_damaged 1위, 점수 소폭 상승?</t>
    <phoneticPr fontId="3" type="noConversion"/>
  </si>
  <si>
    <t>exp_007</t>
  </si>
  <si>
    <t>- s198</t>
    <phoneticPr fontId="3" type="noConversion"/>
  </si>
  <si>
    <t>s198만 제거</t>
    <phoneticPr fontId="3" type="noConversion"/>
  </si>
  <si>
    <t>exp_008</t>
  </si>
  <si>
    <t>- raw_features.json</t>
    <phoneticPr fontId="3" type="noConversion"/>
  </si>
  <si>
    <t>v2에서 raw 피처 제거 -&gt; 필요한 raw 변수가 있긴 하다</t>
    <phoneticPr fontId="3" type="noConversion"/>
  </si>
  <si>
    <t>exp_009</t>
  </si>
  <si>
    <t>- s198_damaged</t>
    <phoneticPr fontId="3" type="noConversion"/>
  </si>
  <si>
    <t>s197과 s198의 역할을 s187이 대체함</t>
    <phoneticPr fontId="3" type="noConversion"/>
  </si>
  <si>
    <t>exp_010</t>
  </si>
  <si>
    <t>- s187</t>
    <phoneticPr fontId="3" type="noConversion"/>
  </si>
  <si>
    <t xml:space="preserve">s187_damaged가 1위임, 급성 지표는 raw보다는 flag가 좋은듯 </t>
    <phoneticPr fontId="3" type="noConversion"/>
  </si>
  <si>
    <t>exp_011</t>
  </si>
  <si>
    <t>- s197 - s198 - s187</t>
    <phoneticPr fontId="3" type="noConversion"/>
  </si>
  <si>
    <t>급성 지표 과신? 실제로 중요?</t>
    <phoneticPr fontId="1" type="noConversion"/>
  </si>
  <si>
    <t>exp_012</t>
  </si>
  <si>
    <t>exp_013</t>
  </si>
  <si>
    <t>- 총 탐색량</t>
    <phoneticPr fontId="1" type="noConversion"/>
  </si>
  <si>
    <t>- 최근 부하 압력</t>
    <phoneticPr fontId="1" type="noConversion"/>
  </si>
  <si>
    <t>exp_014</t>
  </si>
  <si>
    <t>exp_015</t>
  </si>
  <si>
    <t>exp_016</t>
  </si>
  <si>
    <t>exp_017</t>
  </si>
  <si>
    <t>exp_018</t>
  </si>
  <si>
    <t>exp_019</t>
  </si>
  <si>
    <t>exp_020</t>
  </si>
  <si>
    <t>exp_021</t>
  </si>
  <si>
    <t>- 총 읽기량</t>
    <phoneticPr fontId="1" type="noConversion"/>
  </si>
  <si>
    <t>- 총 기록량</t>
    <phoneticPr fontId="1" type="noConversion"/>
  </si>
  <si>
    <t>- 누적 사용량</t>
    <phoneticPr fontId="1" type="noConversion"/>
  </si>
  <si>
    <t>- Burst 이상</t>
    <phoneticPr fontId="1" type="noConversion"/>
  </si>
  <si>
    <t>- Reallocated / Pending</t>
    <phoneticPr fontId="1" type="noConversion"/>
  </si>
  <si>
    <t>- 급성 Spike</t>
    <phoneticPr fontId="1" type="noConversion"/>
  </si>
  <si>
    <t>- Sector 열화</t>
    <phoneticPr fontId="1" type="noConversion"/>
  </si>
  <si>
    <t>- 읽기/쓰기 안정성</t>
    <phoneticPr fontId="1" type="noConversion"/>
  </si>
  <si>
    <t>이 그룹의 중요도가 높은가?</t>
    <phoneticPr fontId="1" type="noConversion"/>
  </si>
  <si>
    <t>exp_022</t>
  </si>
  <si>
    <t>exp_023</t>
  </si>
  <si>
    <t>exp_024</t>
  </si>
  <si>
    <t>exp_025</t>
  </si>
  <si>
    <t>exp_026</t>
  </si>
  <si>
    <t>exp_027</t>
  </si>
  <si>
    <t>exp_028</t>
  </si>
  <si>
    <t>exp_029</t>
  </si>
  <si>
    <t>exp_030</t>
  </si>
  <si>
    <t>exp_031</t>
  </si>
  <si>
    <t>exp_032</t>
  </si>
  <si>
    <t>exp_033</t>
  </si>
  <si>
    <t>exp_034</t>
  </si>
  <si>
    <t>exp_035</t>
  </si>
  <si>
    <t>exp_036</t>
  </si>
  <si>
    <t>- Seek 경로 이상</t>
    <phoneticPr fontId="1" type="noConversion"/>
  </si>
  <si>
    <t>- 기본 I/O 이상</t>
    <phoneticPr fontId="1" type="noConversion"/>
  </si>
  <si>
    <t>- 물리 스트레스 상호작용</t>
    <phoneticPr fontId="1" type="noConversion"/>
  </si>
  <si>
    <t>- 기계적 충격</t>
    <phoneticPr fontId="1" type="noConversion"/>
  </si>
  <si>
    <t>- 열 스트레스</t>
    <phoneticPr fontId="1" type="noConversion"/>
  </si>
  <si>
    <t>- 온도 수준</t>
    <phoneticPr fontId="1" type="noConversion"/>
  </si>
  <si>
    <r>
      <rPr>
        <sz val="11"/>
        <rFont val="맑은 고딕"/>
        <family val="3"/>
        <charset val="129"/>
      </rPr>
      <t>- 과거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누적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발생</t>
    </r>
    <phoneticPr fontId="1" type="noConversion"/>
  </si>
  <si>
    <r>
      <rPr>
        <sz val="11"/>
        <rFont val="맑은 고딕"/>
        <family val="3"/>
        <charset val="129"/>
      </rPr>
      <t>- 직접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손상</t>
    </r>
    <r>
      <rPr>
        <sz val="11"/>
        <rFont val="Consolas"/>
        <family val="3"/>
      </rPr>
      <t xml:space="preserve"> </t>
    </r>
    <r>
      <rPr>
        <sz val="11"/>
        <rFont val="맑은 고딕"/>
        <family val="3"/>
        <charset val="129"/>
      </rPr>
      <t>발생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</si>
  <si>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- 펌웨어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실패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</si>
  <si>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- 지속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악화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</si>
  <si>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- 최근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시점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</si>
  <si>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- 최초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맑은 고딕"/>
        <family val="3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시점</t>
    </r>
    <phoneticPr fontId="1" type="noConversion"/>
  </si>
  <si>
    <t>- s187 - s198</t>
    <phoneticPr fontId="3" type="noConversion"/>
  </si>
  <si>
    <t>- s197 - s187</t>
    <phoneticPr fontId="3" type="noConversion"/>
  </si>
  <si>
    <t>s198 혼자 일하는중</t>
    <phoneticPr fontId="1" type="noConversion"/>
  </si>
  <si>
    <t>s197 혼자 일하는중</t>
    <phoneticPr fontId="1" type="noConversion"/>
  </si>
  <si>
    <t>total_seeks 변수들이 과적합의 원인?</t>
    <phoneticPr fontId="1" type="noConversion"/>
  </si>
  <si>
    <t>변화 없음 1. 이 그룹이 쓸모없음 2. 다른 강한 변수에 묻힘</t>
    <phoneticPr fontId="1" type="noConversion"/>
  </si>
  <si>
    <t>s184 관련 변수들이 일반화 성능에 중요</t>
    <phoneticPr fontId="1" type="noConversion"/>
  </si>
  <si>
    <t>- timeout_total_days_since_last</t>
    <phoneticPr fontId="1" type="noConversion"/>
  </si>
  <si>
    <t>- firmware_struggle_index</t>
    <phoneticPr fontId="1" type="noConversion"/>
  </si>
  <si>
    <r>
      <t xml:space="preserve">- </t>
    </r>
    <r>
      <rPr>
        <sz val="11"/>
        <color theme="1"/>
        <rFont val="맑은 고딕"/>
        <family val="3"/>
        <charset val="129"/>
        <scheme val="minor"/>
      </rPr>
      <t>시스템성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실패</t>
    </r>
    <phoneticPr fontId="1" type="noConversion"/>
  </si>
  <si>
    <t>exp_037</t>
  </si>
  <si>
    <t>- 총 탐색량 - 총 기록량 - Burst 이상 - 최초 발생 시점</t>
    <phoneticPr fontId="1" type="noConversion"/>
  </si>
  <si>
    <t>이 그룹들은 일반화 성능에 방해</t>
    <phoneticPr fontId="1" type="noConversion"/>
  </si>
  <si>
    <t>exp_038</t>
  </si>
  <si>
    <t>exp_039</t>
  </si>
  <si>
    <t>exp_040</t>
  </si>
  <si>
    <t>exp_041</t>
  </si>
  <si>
    <t>exp_042</t>
  </si>
  <si>
    <t>exp_043</t>
  </si>
  <si>
    <t>exp_044</t>
  </si>
  <si>
    <t>exp_045</t>
  </si>
  <si>
    <t>exp_046</t>
  </si>
  <si>
    <t>exp_047</t>
  </si>
  <si>
    <t>exp_048</t>
  </si>
  <si>
    <t>exp_049</t>
  </si>
  <si>
    <t>exp_050</t>
  </si>
  <si>
    <t>exp_051</t>
  </si>
  <si>
    <t>exp_052</t>
  </si>
  <si>
    <t>exp_053</t>
  </si>
  <si>
    <t>exp_054</t>
  </si>
  <si>
    <t>exp_055</t>
  </si>
  <si>
    <t>exp_056</t>
  </si>
  <si>
    <t>exp_057</t>
  </si>
  <si>
    <t>exp_058</t>
  </si>
  <si>
    <t>exp_059</t>
  </si>
  <si>
    <t>exp_060</t>
  </si>
  <si>
    <t>exp_061</t>
  </si>
  <si>
    <t>exp_062</t>
  </si>
  <si>
    <t>exp_063</t>
  </si>
  <si>
    <t>exp_064</t>
  </si>
  <si>
    <t>exp_065</t>
  </si>
  <si>
    <t>exp_066</t>
  </si>
  <si>
    <t>exp_067</t>
  </si>
  <si>
    <t>exp_068</t>
  </si>
  <si>
    <t>exp_069</t>
  </si>
  <si>
    <t>exp_070</t>
  </si>
  <si>
    <t>exp_071</t>
  </si>
  <si>
    <t>exp_072</t>
  </si>
  <si>
    <t>exp_073</t>
  </si>
  <si>
    <t>exp_074</t>
  </si>
  <si>
    <t>exp_075</t>
  </si>
  <si>
    <t>exp_076</t>
  </si>
  <si>
    <t>exp_077</t>
  </si>
  <si>
    <t>exp_078</t>
  </si>
  <si>
    <t>exp_079</t>
  </si>
  <si>
    <t>exp_080</t>
  </si>
  <si>
    <t>exp_081</t>
  </si>
  <si>
    <t>exp_082</t>
  </si>
  <si>
    <t>exp_083</t>
  </si>
  <si>
    <t>exp_084</t>
  </si>
  <si>
    <t>exp_085</t>
  </si>
  <si>
    <t>exp_086</t>
  </si>
  <si>
    <t>exp_087</t>
  </si>
  <si>
    <t>exp_088</t>
  </si>
  <si>
    <t>exp_089</t>
  </si>
  <si>
    <t>exp_090</t>
  </si>
  <si>
    <t>exp_091</t>
  </si>
  <si>
    <t>exp_092</t>
  </si>
  <si>
    <t>exp_093</t>
  </si>
  <si>
    <t>exp_094</t>
  </si>
  <si>
    <t>exp_095</t>
  </si>
  <si>
    <t>exp_096</t>
  </si>
  <si>
    <t>exp_097</t>
  </si>
  <si>
    <t>exp_098</t>
  </si>
  <si>
    <t>exp_099</t>
  </si>
  <si>
    <t>exp_100</t>
  </si>
  <si>
    <t>exp_101</t>
  </si>
  <si>
    <t>exp_102</t>
  </si>
  <si>
    <t>exp_103</t>
  </si>
  <si>
    <t>exp_104</t>
  </si>
  <si>
    <t>exp_105</t>
  </si>
  <si>
    <t>exp_106</t>
  </si>
  <si>
    <t>exp_107</t>
  </si>
  <si>
    <t>exp_108</t>
  </si>
  <si>
    <t>exp_109</t>
  </si>
  <si>
    <t>exp_110</t>
  </si>
  <si>
    <t>각 그룹 별 KS 1위 변수만 사용</t>
    <phoneticPr fontId="1" type="noConversion"/>
  </si>
  <si>
    <t xml:space="preserve">    model = LGBMClassifier(</t>
  </si>
  <si>
    <t xml:space="preserve">        objective='binary',</t>
  </si>
  <si>
    <t xml:space="preserve">        importance_type='gain',</t>
  </si>
  <si>
    <t xml:space="preserve">        class_weight='balanced',</t>
  </si>
  <si>
    <t xml:space="preserve">        max_depth=6,</t>
  </si>
  <si>
    <t xml:space="preserve">        num_leaves=40,</t>
  </si>
  <si>
    <t xml:space="preserve">        n_estimators=200,</t>
  </si>
  <si>
    <t xml:space="preserve">        learning_rate=0.07,</t>
  </si>
  <si>
    <t xml:space="preserve">        device='gpu' if has_gpu else 'cpu',</t>
  </si>
  <si>
    <t xml:space="preserve">        random_state=42,</t>
  </si>
  <si>
    <t xml:space="preserve">        bagging_seed=42,</t>
  </si>
  <si>
    <t xml:space="preserve">        feature_fraction_seed=42,</t>
  </si>
  <si>
    <t xml:space="preserve">        data_random_seed=42,</t>
  </si>
  <si>
    <t>smart_197_raw</t>
    <phoneticPr fontId="1" type="noConversion"/>
  </si>
  <si>
    <t>workload_intensity</t>
    <phoneticPr fontId="1" type="noConversion"/>
  </si>
  <si>
    <t>s194_28d_mean</t>
    <phoneticPr fontId="1" type="noConversion"/>
  </si>
  <si>
    <t>write_stability_ratio</t>
    <phoneticPr fontId="1" type="noConversion"/>
  </si>
  <si>
    <t>smart_183_raw</t>
    <phoneticPr fontId="1" type="noConversion"/>
  </si>
  <si>
    <t>s241_28d_asfd</t>
    <phoneticPr fontId="1" type="noConversion"/>
  </si>
  <si>
    <t>s190_28d_std</t>
    <phoneticPr fontId="1" type="noConversion"/>
  </si>
  <si>
    <t>s191_days_since_last</t>
    <phoneticPr fontId="1" type="noConversion"/>
  </si>
  <si>
    <t>age_weighted_workload</t>
    <phoneticPr fontId="1" type="noConversion"/>
  </si>
  <si>
    <t>열1</t>
  </si>
  <si>
    <t>열2</t>
  </si>
  <si>
    <t>물리 스트레스 상호작용</t>
    <phoneticPr fontId="1" type="noConversion"/>
  </si>
  <si>
    <t>delta</t>
    <phoneticPr fontId="1" type="noConversion"/>
  </si>
  <si>
    <t>group</t>
    <phoneticPr fontId="1" type="noConversion"/>
  </si>
  <si>
    <t>대체 불가능성 순위</t>
    <phoneticPr fontId="1" type="noConversion"/>
  </si>
  <si>
    <t>-</t>
  </si>
  <si>
    <t>-</t>
    <phoneticPr fontId="1" type="noConversion"/>
  </si>
  <si>
    <t>s241 변수들이 과적합의 원인?</t>
    <phoneticPr fontId="1" type="noConversion"/>
  </si>
  <si>
    <t>s242_28d_asfd</t>
    <phoneticPr fontId="1" type="noConversion"/>
  </si>
  <si>
    <t>s184_14d_max</t>
    <phoneticPr fontId="1" type="noConversion"/>
  </si>
  <si>
    <t>s198_28d_max</t>
    <phoneticPr fontId="1" type="noConversion"/>
  </si>
  <si>
    <t>rfe_train.parquet</t>
    <phoneticPr fontId="3" type="noConversion"/>
  </si>
  <si>
    <t>197_damaged</t>
    <phoneticPr fontId="1" type="noConversion"/>
  </si>
  <si>
    <t>s198_damaged</t>
    <phoneticPr fontId="1" type="noConversion"/>
  </si>
  <si>
    <t>smart_198_raw</t>
    <phoneticPr fontId="1" type="noConversion"/>
  </si>
  <si>
    <t>s187_damaged</t>
    <phoneticPr fontId="1" type="noConversion"/>
  </si>
  <si>
    <t>smart_187_raw</t>
    <phoneticPr fontId="1" type="noConversion"/>
  </si>
  <si>
    <t># 중요도 순으로</t>
    <phoneticPr fontId="1" type="noConversion"/>
  </si>
  <si>
    <t># 재귀적으로 제거하는 실험</t>
    <phoneticPr fontId="1" type="noConversion"/>
  </si>
  <si>
    <t>s187_days_since_first</t>
    <phoneticPr fontId="1" type="noConversion"/>
  </si>
  <si>
    <t>s187_ever_flag</t>
    <phoneticPr fontId="1" type="noConversion"/>
  </si>
  <si>
    <t>error_density_14d</t>
    <phoneticPr fontId="1" type="noConversion"/>
  </si>
  <si>
    <t>reallocated_pending_ratio</t>
    <phoneticPr fontId="1" type="noConversion"/>
  </si>
  <si>
    <t>s187_28d_sum</t>
    <phoneticPr fontId="1" type="noConversion"/>
  </si>
  <si>
    <t>s187_28d_max</t>
    <phoneticPr fontId="1" type="noConversion"/>
  </si>
  <si>
    <t>s187_14d_sum</t>
    <phoneticPr fontId="1" type="noConversion"/>
  </si>
  <si>
    <t># SHAP에서 강한 확신을 갖는 변수를</t>
    <phoneticPr fontId="1" type="noConversion"/>
  </si>
  <si>
    <t>s187_14d_burst_index</t>
    <phoneticPr fontId="1" type="noConversion"/>
  </si>
  <si>
    <t>s187_14d_max</t>
    <phoneticPr fontId="1" type="noConversion"/>
  </si>
  <si>
    <t>s5_damaged</t>
    <phoneticPr fontId="1" type="noConversion"/>
  </si>
  <si>
    <t>s5_relative_score_14d</t>
    <phoneticPr fontId="1" type="noConversion"/>
  </si>
  <si>
    <t>cumulative_error_score</t>
    <phoneticPr fontId="1" type="noConversion"/>
  </si>
  <si>
    <t>s5_days_since_first</t>
    <phoneticPr fontId="1" type="noConversion"/>
  </si>
  <si>
    <t>s5_ever_flag</t>
    <phoneticPr fontId="1" type="noConversion"/>
  </si>
  <si>
    <t>s5_28d_max</t>
    <phoneticPr fontId="1" type="noConversion"/>
  </si>
  <si>
    <t>multi_error_count</t>
    <phoneticPr fontId="1" type="noConversion"/>
  </si>
  <si>
    <t>error_growth_ratio</t>
    <phoneticPr fontId="1" type="noConversion"/>
  </si>
  <si>
    <t>s187_diff</t>
    <phoneticPr fontId="1" type="noConversion"/>
  </si>
  <si>
    <t>s198_diff</t>
    <phoneticPr fontId="1" type="noConversion"/>
  </si>
  <si>
    <t>uncorrectable_spike_ratio</t>
    <phoneticPr fontId="1" type="noConversion"/>
  </si>
  <si>
    <t>s183_28d_max</t>
    <phoneticPr fontId="1" type="noConversion"/>
  </si>
  <si>
    <t>s183_14d_max</t>
    <phoneticPr fontId="1" type="noConversion"/>
  </si>
  <si>
    <t># SHAP 변수중요도 1위를</t>
    <phoneticPr fontId="1" type="noConversion"/>
  </si>
  <si>
    <t>고장을 강하게 설명하는 변수 마지노선</t>
    <phoneticPr fontId="1" type="noConversion"/>
  </si>
  <si>
    <t>s187 정보 소진</t>
    <phoneticPr fontId="1" type="noConversion"/>
  </si>
  <si>
    <t>s5 정보 소진</t>
    <phoneticPr fontId="1" type="noConversion"/>
  </si>
  <si>
    <t>error 정보 소진?</t>
    <phoneticPr fontId="1" type="noConversion"/>
  </si>
  <si>
    <t>또 한번의 정보 소진</t>
    <phoneticPr fontId="1" type="noConversion"/>
  </si>
  <si>
    <t>base_exp</t>
  </si>
  <si>
    <t>CV PR-AUC</t>
  </si>
  <si>
    <t>CV std</t>
  </si>
  <si>
    <t>test PR-AUC</t>
  </si>
  <si>
    <t>exp_001</t>
  </si>
  <si>
    <t>none</t>
  </si>
  <si>
    <t>baseline</t>
  </si>
  <si>
    <t>exp_111</t>
  </si>
  <si>
    <t>exp_112</t>
  </si>
  <si>
    <t>exp_113</t>
  </si>
  <si>
    <t>exp_114</t>
  </si>
  <si>
    <t>exp_115</t>
  </si>
  <si>
    <t>exp_116</t>
  </si>
  <si>
    <t>exp_117</t>
  </si>
  <si>
    <t>exp_118</t>
  </si>
  <si>
    <t>exp_119</t>
  </si>
  <si>
    <t>exp_120</t>
  </si>
  <si>
    <t>exp_121</t>
  </si>
  <si>
    <t>exp_122</t>
  </si>
  <si>
    <t>exp_123</t>
  </si>
  <si>
    <t>exp_124</t>
  </si>
  <si>
    <t>exp_125</t>
  </si>
  <si>
    <t>exp_126</t>
  </si>
  <si>
    <t>exp_127</t>
  </si>
  <si>
    <t>exp_128</t>
  </si>
  <si>
    <t>exp_129</t>
  </si>
  <si>
    <t>exp_130</t>
  </si>
  <si>
    <t>exp_131</t>
  </si>
  <si>
    <t>exp_132</t>
  </si>
  <si>
    <t>exp_133</t>
  </si>
  <si>
    <t>exp_134</t>
  </si>
  <si>
    <t>exp_135</t>
  </si>
  <si>
    <t>exp_136</t>
  </si>
  <si>
    <t>exp_137</t>
  </si>
  <si>
    <t>exp_138</t>
  </si>
  <si>
    <t>exp_139</t>
  </si>
  <si>
    <t>exp_140</t>
  </si>
  <si>
    <t>exp_141</t>
  </si>
  <si>
    <t>exp_142</t>
  </si>
  <si>
    <t>exp_143</t>
  </si>
  <si>
    <t>exp_144</t>
  </si>
  <si>
    <t>exp_145</t>
  </si>
  <si>
    <t>exp_146</t>
  </si>
  <si>
    <t>exp_147</t>
  </si>
  <si>
    <t>exp_148</t>
  </si>
  <si>
    <t>exp_149</t>
  </si>
  <si>
    <t>exp_150</t>
  </si>
  <si>
    <t>exp_151</t>
  </si>
  <si>
    <t>exp_152</t>
  </si>
  <si>
    <t>exp_153</t>
  </si>
  <si>
    <t>exp_154</t>
  </si>
  <si>
    <t>exp_155</t>
  </si>
  <si>
    <t>exp_156</t>
  </si>
  <si>
    <t>exp_157</t>
  </si>
  <si>
    <t>exp_158</t>
  </si>
  <si>
    <t>exp_159</t>
  </si>
  <si>
    <t>exp_160</t>
  </si>
  <si>
    <t>exp_161</t>
  </si>
  <si>
    <t>exp_162</t>
  </si>
  <si>
    <t>exp_163</t>
  </si>
  <si>
    <t>exp_164</t>
  </si>
  <si>
    <t>exp_165</t>
  </si>
  <si>
    <t>exp_166</t>
  </si>
  <si>
    <t>exp_167</t>
  </si>
  <si>
    <t>n_features</t>
  </si>
  <si>
    <t>remove: timeout_5s_diff</t>
  </si>
  <si>
    <t>remove: s183_diff</t>
  </si>
  <si>
    <t>remove: fatal_crash_interaction</t>
  </si>
  <si>
    <t>remove: late_stage_degradation</t>
  </si>
  <si>
    <t>remove: firmware_struggle_index</t>
  </si>
  <si>
    <t>remove: pending_to_offline_ratio</t>
  </si>
  <si>
    <t>remove: timeout_severity_score</t>
  </si>
  <si>
    <t>remove: timeout_to_uncorrectable_lag1</t>
  </si>
  <si>
    <t>remove: s198_damaged</t>
  </si>
  <si>
    <t>remove: seek_damaged</t>
  </si>
  <si>
    <t>remove: timeout_5s_damaged</t>
  </si>
  <si>
    <t>remove: cascading_failure_flag</t>
  </si>
  <si>
    <t>remove: recovery_failure_flag</t>
  </si>
  <si>
    <t>remove: s197_recovery_flag</t>
  </si>
  <si>
    <t>remove: s194_over40_7d_count</t>
  </si>
  <si>
    <t>remove: s197_7d_straight_rise</t>
  </si>
  <si>
    <t>remove: uncorrectable_spike_ratio</t>
  </si>
  <si>
    <t>remove: timeout_5s_14d_sum</t>
  </si>
  <si>
    <t>remove: s184_1d_crash_flag</t>
  </si>
  <si>
    <t>remove: timeout_5s_14d_max</t>
  </si>
  <si>
    <t>remove: timeout_5s_28d_max</t>
  </si>
  <si>
    <t>remove: s184_3d_max</t>
  </si>
  <si>
    <t>remove: age_weighted_seek_error</t>
  </si>
  <si>
    <t>remove: timeout_5s_28d_sum</t>
  </si>
  <si>
    <t>remove: is_warmup_14d</t>
  </si>
  <si>
    <t>remove: s5_diff</t>
  </si>
  <si>
    <t>remove: s198_diff</t>
  </si>
  <si>
    <t>remove: seek_error_count_14d_max</t>
  </si>
  <si>
    <t>remove: s187_damaged</t>
  </si>
  <si>
    <t>remove: s187_diff</t>
  </si>
  <si>
    <t>remove: s190_7d_dai</t>
  </si>
  <si>
    <t>remove: s197_damaged</t>
  </si>
  <si>
    <t>remove: s187_14d_sum</t>
  </si>
  <si>
    <t>remove: multi_error_count</t>
  </si>
  <si>
    <t>remove: thermal_stress_index</t>
  </si>
  <si>
    <t>remove: seek_error_count_14d_sum</t>
  </si>
  <si>
    <t>remove: thermal_fatigue_integral_7d</t>
  </si>
  <si>
    <t>remove: s184_7d_max</t>
  </si>
  <si>
    <t>remove: s194_14d_dai</t>
  </si>
  <si>
    <t>remove: data_corruption_hazard</t>
  </si>
  <si>
    <t>remove: seek_error_count_28d_max</t>
  </si>
  <si>
    <t>remove: error_growth_ratio</t>
  </si>
  <si>
    <t>remove: zero_to_hero_count</t>
  </si>
  <si>
    <t>remove: s187_14d_max</t>
  </si>
  <si>
    <t>remove: s183_28d_max</t>
  </si>
  <si>
    <t>remove: timeout_5s</t>
  </si>
  <si>
    <t>remove: seek_error_count_28d_sum</t>
  </si>
  <si>
    <t>remove: s183_14d_max</t>
  </si>
  <si>
    <t>remove: total_reads_14d_dai</t>
  </si>
  <si>
    <t>remove: s190_14d_dai</t>
  </si>
  <si>
    <t>remove: timeout_total_14d_max</t>
  </si>
  <si>
    <t>remove: s190_7d_zscore</t>
  </si>
  <si>
    <t>remove: timeout_read_density</t>
  </si>
  <si>
    <t>remove: s242_7d_dai</t>
  </si>
  <si>
    <t>remove: s194_14d_zscore</t>
  </si>
  <si>
    <t>remove: s194_7d_dai</t>
  </si>
  <si>
    <t>remove: seek_error_density</t>
  </si>
  <si>
    <t>remove: total_reads_28d_mean</t>
  </si>
  <si>
    <t>remove: s241_7d_zscore</t>
  </si>
  <si>
    <t>remove: total_reads_7d_dai</t>
  </si>
  <si>
    <t>remove: total_reads_14d_accel</t>
  </si>
  <si>
    <t>remove: s184_14d_max</t>
  </si>
  <si>
    <t>remove: is_warmup_28d</t>
  </si>
  <si>
    <t>remove: read_spike_ratio</t>
  </si>
  <si>
    <t>remove: total_seeks_14d_accel</t>
  </si>
  <si>
    <t>remove: s242_14d_accel</t>
  </si>
  <si>
    <t>remove: s187_14d_burst_index</t>
  </si>
  <si>
    <t>remove: s194_7d_zscore</t>
  </si>
  <si>
    <t>remove: s194_28d_dai</t>
  </si>
  <si>
    <t>remove: total_reads_diff</t>
  </si>
  <si>
    <t>remove: s187_ever_flag</t>
  </si>
  <si>
    <t>remove: s190_7d_max</t>
  </si>
  <si>
    <t>remove: s194_7d_mean</t>
  </si>
  <si>
    <t>remove: s242_7d_zscore</t>
  </si>
  <si>
    <t>remove: total_reads_28d_dai</t>
  </si>
  <si>
    <t>remove: seek_error_count</t>
  </si>
  <si>
    <t>remove: seek_spike_ratio</t>
  </si>
  <si>
    <t>remove: workload_7d_accel</t>
  </si>
  <si>
    <t>remove: total_reads_14d_ewma</t>
  </si>
  <si>
    <t>remove: s241_14d_accel</t>
  </si>
  <si>
    <t>remove: smart_194_raw</t>
  </si>
  <si>
    <t>remove: s187_28d_max</t>
  </si>
  <si>
    <t>remove: shock_to_highfly_ratio</t>
  </si>
  <si>
    <t>remove: total_seeks_7d_dai</t>
  </si>
  <si>
    <t>remove: s190_7d_mean</t>
  </si>
  <si>
    <t>remove: timeout_total_28d_max</t>
  </si>
  <si>
    <t>remove: s190_7d_std</t>
  </si>
  <si>
    <t>remove: s190_14d_zscore</t>
  </si>
  <si>
    <t>remove: total_seeks_14d_dai</t>
  </si>
  <si>
    <t>remove: total_reads_7d_std</t>
  </si>
  <si>
    <t>remove: s194_7d_max</t>
  </si>
  <si>
    <t>remove: s5_ever_flag</t>
  </si>
  <si>
    <t>remove: total_seeks_28d_dai</t>
  </si>
  <si>
    <t>remove: s190_28d_dai</t>
  </si>
  <si>
    <t>remove: s190_14d_ewma</t>
  </si>
  <si>
    <t>remove: timeout_total_days_since_last</t>
  </si>
  <si>
    <t>remove: s194_14d_max</t>
  </si>
  <si>
    <t>remove: s242_14d_dai</t>
  </si>
  <si>
    <t>remove: s241_28d_dai</t>
  </si>
  <si>
    <t>remove: s5_relative_score_14d</t>
  </si>
  <si>
    <t>remove: s194_7d_ewma</t>
  </si>
  <si>
    <t>remove: s199_days_since_last</t>
  </si>
  <si>
    <t>remove: s199_error_density</t>
  </si>
  <si>
    <t>remove: s242_diff</t>
  </si>
  <si>
    <t>remove: s190_14d_std</t>
  </si>
  <si>
    <t>remove: s194_14d_ewma</t>
  </si>
  <si>
    <t>remove: s241_7d_dai</t>
  </si>
  <si>
    <t>remove: timeout_seek_density</t>
  </si>
  <si>
    <t>remove: s241_14d_dai</t>
  </si>
  <si>
    <t>remove: s5_28d_max</t>
  </si>
  <si>
    <t>remove: io_asymmetry_index</t>
  </si>
  <si>
    <t>remove: s190_14d_mean</t>
  </si>
  <si>
    <t>remove: total_reads_14d_asfd</t>
  </si>
  <si>
    <t>remove: s190_28d_zscore</t>
  </si>
  <si>
    <t>remove: s190_14d_max</t>
  </si>
  <si>
    <t>remove: s5_damaged</t>
  </si>
  <si>
    <t>remove: s194_28d_std</t>
  </si>
  <si>
    <t>remove: reallocated_pending_ratio</t>
  </si>
  <si>
    <t>remove: smart_189_raw</t>
  </si>
  <si>
    <t>remove: s190_28d_mean</t>
  </si>
  <si>
    <t>remove: total_reads_7d_asfd</t>
  </si>
  <si>
    <t>remove: smart_184_raw</t>
  </si>
  <si>
    <t>remove: total_reads_28d_std</t>
  </si>
  <si>
    <t>remove: s194_28d_max</t>
  </si>
  <si>
    <t>remove: s242_28d_dai</t>
  </si>
  <si>
    <t>remove: s190_28d_ewma</t>
  </si>
  <si>
    <t>remove: s190_7d_ewma</t>
  </si>
  <si>
    <t>remove: write_spike_ratio</t>
  </si>
  <si>
    <t>remove: s241_14d_mean</t>
  </si>
  <si>
    <t>remove: s194_7d_std</t>
  </si>
  <si>
    <t>remove: s194_28d_zscore</t>
  </si>
  <si>
    <t>remove: total_seeks_diff</t>
  </si>
  <si>
    <t>remove: cumulative_error_score</t>
  </si>
  <si>
    <t>remove: s194_28d_ewma</t>
  </si>
  <si>
    <t>remove: total_reads_7d_max</t>
  </si>
  <si>
    <t>remove: s5_days_since_first</t>
  </si>
  <si>
    <t>remove: s190_28d_max</t>
  </si>
  <si>
    <t>remove: total_reads_28d_asfd</t>
  </si>
  <si>
    <t>remove: total_reads_28d_max</t>
  </si>
  <si>
    <t>remove: s241_28d_asfd</t>
  </si>
  <si>
    <t>remove: s241_diff</t>
  </si>
  <si>
    <t>remove: smart_183_raw</t>
  </si>
  <si>
    <t>remove: s187_28d_sum</t>
  </si>
  <si>
    <t>remove: s190_28d_std</t>
  </si>
  <si>
    <t>remove: s242_28d_asfd</t>
  </si>
  <si>
    <t>remove: age_weighted_workload</t>
  </si>
  <si>
    <t>remove: total_reads_14d_max</t>
  </si>
  <si>
    <t>remove: s241_7d_max</t>
  </si>
  <si>
    <t>remove: total_seeks_28d_max</t>
  </si>
  <si>
    <t>remove: s194_14d_std</t>
  </si>
  <si>
    <t>remove: s194_14d_mean</t>
  </si>
  <si>
    <t>remove: total_seeks</t>
  </si>
  <si>
    <t>remove: s187_days_since_first</t>
  </si>
  <si>
    <t>remove: total_seeks_14d_mean</t>
  </si>
  <si>
    <t>remove: s191_days_since_last</t>
  </si>
  <si>
    <t>remove: s194_28d_mean</t>
  </si>
  <si>
    <t>remove: s198_28d_max</t>
  </si>
  <si>
    <t>remove: workload_intensity</t>
  </si>
  <si>
    <t>remove: s242_14d_mean</t>
  </si>
  <si>
    <t>remove: smart_241_raw</t>
  </si>
  <si>
    <t>remove: error_density_14d</t>
  </si>
  <si>
    <t>remove: smart_242_raw</t>
  </si>
  <si>
    <t>remove: smart_9_raw</t>
  </si>
  <si>
    <t>remove: total_seeks_28d_asfd</t>
  </si>
  <si>
    <t>remove: smart_187_raw</t>
  </si>
  <si>
    <t># SHAP 변수중요도 꼴찌를</t>
    <phoneticPr fontId="1" type="noConversion"/>
  </si>
  <si>
    <t>diff</t>
    <phoneticPr fontId="1" type="noConversion"/>
  </si>
  <si>
    <t>첫번째 붕괴</t>
    <phoneticPr fontId="1" type="noConversion"/>
  </si>
  <si>
    <t>모델 사망</t>
    <phoneticPr fontId="1" type="noConversion"/>
  </si>
  <si>
    <t>고점</t>
    <phoneticPr fontId="1" type="noConversion"/>
  </si>
  <si>
    <t># rfe_train.parquet에서</t>
    <phoneticPr fontId="3" type="noConversion"/>
  </si>
  <si>
    <t>removed</t>
  </si>
  <si>
    <t>decision</t>
  </si>
  <si>
    <t>top_cand</t>
  </si>
  <si>
    <t>top_cv</t>
  </si>
  <si>
    <t>bot_cand</t>
  </si>
  <si>
    <t>bot_cv</t>
  </si>
  <si>
    <t>bot</t>
  </si>
  <si>
    <t>remove: smart_197_raw</t>
  </si>
  <si>
    <t>top</t>
  </si>
  <si>
    <t>remove: write_stability_ratio</t>
  </si>
  <si>
    <t>exp_168</t>
  </si>
  <si>
    <t>정보소진</t>
    <phoneticPr fontId="1" type="noConversion"/>
  </si>
  <si>
    <t>정보 소진</t>
    <phoneticPr fontId="1" type="noConversion"/>
  </si>
  <si>
    <t>그룹</t>
    <phoneticPr fontId="1" type="noConversion"/>
  </si>
  <si>
    <t>변수</t>
    <phoneticPr fontId="1" type="noConversion"/>
  </si>
  <si>
    <t>노후도 대비 탐색 오류 심각도</t>
  </si>
  <si>
    <t>$\Delta Seek\_Error_t \times s9_t$</t>
  </si>
  <si>
    <t>노후도 기반 일일 작업 부하 가중치</t>
  </si>
  <si>
    <t>$\ln(\lvert\Delta s241_t + \Delta s242_t\rvert + 1) \times \ln(s9_t + 1)$</t>
  </si>
  <si>
    <t>핵심 5대 변수 종합 위험 점수</t>
  </si>
  <si>
    <t>$5\lvert\Delta s5_t\rvert + 4\lvert\Delta s187_t\rvert + 3\lvert\Delta Timeout\_Total_t\rvert + 2\lvert\Delta s197_t\rvert + 1\lvert\Delta s198_t\rvert$</t>
  </si>
  <si>
    <t>논리적 데이터 오염 위험 경고 플래그</t>
  </si>
  <si>
    <t>$\mathbb{I}(\Delta s184_t &gt; 0 \lor \Delta s199_t &gt; 0)$</t>
  </si>
  <si>
    <t>오류 가속화 비율</t>
  </si>
  <si>
    <t>$\frac{\sum_{i=0}^{13} E_{t-i}}{\sum_{i=0}^{13} \max(0, \Delta s9_{t-i}) + 1}$</t>
  </si>
  <si>
    <t>14일간 시간 대비 에러 밀도</t>
  </si>
  <si>
    <t>$\frac{E_t + 1}{E_{t-1} + 1}$</t>
  </si>
  <si>
    <t>$\mathbb{I}(s187_t \ge 65535) + \mathbb{I}(s189_t \ge 65535) + \mathbb{I}(Seek\_Error_t \ge 65535)$</t>
  </si>
  <si>
    <t>핵심 오류 지표 포화도 점수</t>
  </si>
  <si>
    <t>응답 지연 및 복구 불가 오류 결합 지수</t>
  </si>
  <si>
    <t>$\Delta Timeout\_5s_t \times \Delta s187_t$</t>
  </si>
  <si>
    <t>펌웨어 오류 복구 지연(발악) 지수</t>
  </si>
  <si>
    <t>$(\Delta s197_t + \Delta s198_t) \times \Delta Timeout\_Total_t$</t>
  </si>
  <si>
    <t>읽기/쓰기 작업 비대칭 지수</t>
  </si>
  <si>
    <t>$\frac{\lvert\Delta s241_t - \Delta s242_t\rvert}{\Delta s241_t + \Delta s242_t + 1}$</t>
  </si>
  <si>
    <t>$\mathbb{I}(t_{elapsed} &lt; 7)$</t>
  </si>
  <si>
    <t>7일 관측 구간 부족 플래그</t>
  </si>
  <si>
    <t>$\mathbb{I}(t_{elapsed} &lt; 14)$</t>
  </si>
  <si>
    <t>14일 관측 구간 부족 플래그</t>
  </si>
  <si>
    <t>$\mathbb{I}(t_{elapsed} &lt; 28)$</t>
  </si>
  <si>
    <t>28일 관측 구간 부족 플래그</t>
  </si>
  <si>
    <t>노후화 말기 불량 섹터 발생 위험도</t>
  </si>
  <si>
    <t>$\max(0, \Delta s5_t) \times s9_t$</t>
  </si>
  <si>
    <t>외부 충격 및 헤드 비행 오류 동시 발생 심각도</t>
  </si>
  <si>
    <t>$\ln(1 + \lvert\Delta s191_t \times \Delta s189_t\rvert) \times \text{sgn}(\Delta s191_t \times \Delta s189_t)$</t>
  </si>
  <si>
    <t>대기 섹터의 복구 불가 전이 심각도</t>
  </si>
  <si>
    <t>$\frac{s197_t + 1}{s198_t + 1}$</t>
  </si>
  <si>
    <t>7일 평균 대비 당일 읽기량 폭주 비율</t>
  </si>
  <si>
    <t>$\frac{\Delta s242_t}{\left( \frac{1}{7}\sum_{i=1}^{7} \Delta s242_{t-i} \right) + 1}$</t>
  </si>
  <si>
    <t>불량 섹터 대비 불안정 섹터 비율</t>
  </si>
  <si>
    <t>$\frac{s197_t + 1}{s5_t + 1}$</t>
  </si>
  <si>
    <t>$\mathbb{I}(s5_t &gt; 0)$</t>
  </si>
  <si>
    <t>$\begin{cases} t - \min\{\tau \mid s5_\tau &gt; 0\}, &amp; \text{if } \exists \tau \\ -1, &amp; \text{otherwise} \end{cases}$</t>
  </si>
  <si>
    <t>$\Delta s5_t$</t>
  </si>
  <si>
    <t>$\mathbb{I}(\max_{0 \le i \le t}(s5_i) &gt; 0)$</t>
  </si>
  <si>
    <t>$\frac{s5_t}{P_{95}(s5_{t-14:t-1}) + 1}$</t>
  </si>
  <si>
    <t>$\max(\Delta E_{t-13}, \dots, \Delta E_t)$</t>
  </si>
  <si>
    <t>SATA 속도 저하 14일 최댓값</t>
  </si>
  <si>
    <t>$\sum_{i=0}^{13} \Delta E_{t-i}$</t>
  </si>
  <si>
    <t>SATA 속도 저하 14일 총합</t>
  </si>
  <si>
    <t>$\max(\Delta E_{t-27}, \dots, \Delta E_t)$</t>
  </si>
  <si>
    <t>SATA 속도 저하 28일 최댓값</t>
  </si>
  <si>
    <t>$\sum_{i=0}^{27} \Delta E_{t-i}$</t>
  </si>
  <si>
    <t>SATA 속도 저하 28일 총합</t>
  </si>
  <si>
    <t>$\Delta s183_t$</t>
  </si>
  <si>
    <t>SATA 속도 변화</t>
  </si>
  <si>
    <t>치명적 패리티 오류 1일 발생 플래그</t>
  </si>
  <si>
    <t>$\mathbb{I}(\Delta s184_t &gt; 0)$</t>
  </si>
  <si>
    <t>$\max(\Delta E_{t-2}, \dots, \Delta E_t)$</t>
  </si>
  <si>
    <t>전송 경로 오류 3일 최댓값</t>
  </si>
  <si>
    <t>$\sum_{i=0}^{2} \Delta E_{t-i}$</t>
  </si>
  <si>
    <t>전송 경로 오류 3일 총합</t>
  </si>
  <si>
    <t>$\max(\Delta E_{t-6}, \dots, \Delta E_t)$</t>
  </si>
  <si>
    <t>전송 경로 오류 7일 최댓값</t>
  </si>
  <si>
    <t>$\sum_{i=0}^{6} \Delta E_{t-i}$</t>
  </si>
  <si>
    <t>전송 경로 오류 7일 총합</t>
  </si>
  <si>
    <t>전송 경로 오류 14일 최댓값</t>
  </si>
  <si>
    <t>전송 경로 오류 14일 총합</t>
  </si>
  <si>
    <t>$\Delta s184_t$</t>
  </si>
  <si>
    <t>전송 경로 오류 1일 변화량</t>
  </si>
  <si>
    <t>$\sum_{i=0}^{13} \left( \Delta s187_{t-i} \cdot \mathbb{I}(\Delta s187_{t-i} &gt; 0) \right)$</t>
  </si>
  <si>
    <t>복구 불가 오류 횟수 중기 누적 증가량</t>
  </si>
  <si>
    <t>복구 불가 오류 14일 최댓값</t>
  </si>
  <si>
    <t>복구 불가 오류 14일 총합</t>
  </si>
  <si>
    <t>복구 불가 오류 28일 최댓값</t>
  </si>
  <si>
    <t>복구 불가 오류 28일 총합</t>
  </si>
  <si>
    <t>$\mathbb{I}(s187_t &gt; 0)$</t>
  </si>
  <si>
    <t>복구 불가 오류 손상 여부</t>
  </si>
  <si>
    <t>$\begin{cases} t - \min\{\tau \mid s187_\tau &gt; 0\}, &amp; \text{if } \exists \tau \\ -1, &amp; \text{otherwise} \end{cases}$</t>
  </si>
  <si>
    <t>$\Delta s187_t$</t>
  </si>
  <si>
    <t>복구 불가 오류 1일 변화량</t>
  </si>
  <si>
    <t>$\frac{s187_t}{s9_t + 1}$</t>
  </si>
  <si>
    <t>시간당 복구 불가 오류 발생률</t>
  </si>
  <si>
    <t>복구 불가 오류 횟수 누적 발생 플래그</t>
  </si>
  <si>
    <t>$\mathbb{I}(\max_{0 \le i \le t}(s187_i) &gt; 0)$</t>
  </si>
  <si>
    <t>$\sum_{i=0}^{27} \Delta s189_{t-i}$</t>
  </si>
  <si>
    <t>28일간 불량 쓰기 증가량</t>
  </si>
  <si>
    <t>헤드 정렬 불량 쓰기 28일 최댓값</t>
  </si>
  <si>
    <t>헤드 정렬 불량 쓰기 28일 총합</t>
  </si>
  <si>
    <t>$\Delta s189_t$</t>
  </si>
  <si>
    <t>write/seek burst 변화량</t>
  </si>
  <si>
    <t>$\sum_{i=0}^{6} \lvert T_{t-i} - T_{t-i-1} \rvert$</t>
  </si>
  <si>
    <t>기류 온도 7일 차분절대합</t>
  </si>
  <si>
    <t>$\sqrt{\sum_{i=0}^{6}(T_{t-i} - T_{t-i-1})^2}$</t>
  </si>
  <si>
    <t>기류 온도 7일 불변거리</t>
  </si>
  <si>
    <t>$\frac{T_t - T_{t-6}}{6}$</t>
  </si>
  <si>
    <t>기류 온도 7일 평균증가량</t>
  </si>
  <si>
    <t>$0.25 \cdot T_t + 0.75 \cdot EWMA_{t-1}$</t>
  </si>
  <si>
    <t>기류 온도 7일 지수가중</t>
  </si>
  <si>
    <t>$\frac{1}{7}\sum_{i=0}^{6} T_{t-i}$</t>
  </si>
  <si>
    <t>기류 온도 7일 평균</t>
  </si>
  <si>
    <t>$\sqrt{\frac{1}{7}\sum_{i=0}^{6}(T_{t-i} - \mu_{7})^2}$</t>
  </si>
  <si>
    <t>기류 온도 7일 표준편차</t>
  </si>
  <si>
    <t>$\frac{T_t - \mu_7}{\sigma_7 + 1e-5}$</t>
  </si>
  <si>
    <t>기류 온도 7일 Z스코어</t>
  </si>
  <si>
    <t>$\sum_{i=0}^{13} \lvert T_{t-i} - T_{t-i-1} \rvert$</t>
  </si>
  <si>
    <t>기류 온도 14일 차분절대합</t>
  </si>
  <si>
    <t>$\sqrt{\sum_{i=0}^{13}(T_{t-i} - T_{t-i-1})^2}$</t>
  </si>
  <si>
    <t>기류 온도 14일 불변거리</t>
  </si>
  <si>
    <t>$\frac{T_t - T_{t-13}}{13}$</t>
  </si>
  <si>
    <t>기류 온도 14일 평균증가량</t>
  </si>
  <si>
    <t>$0.133 \cdot T_t + 0.867 \cdot E_{t-1}$</t>
  </si>
  <si>
    <t>기류 온도 14일 지수가중</t>
  </si>
  <si>
    <t>$\max(T_{t-13}, \dots, T_t)$</t>
  </si>
  <si>
    <t>기류 온도 14일 최댓값</t>
  </si>
  <si>
    <t>$\frac{1}{14}\sum_{i=0}^{13} T_{t-i}$</t>
  </si>
  <si>
    <t>기류 온도 14일 평균</t>
  </si>
  <si>
    <t>$\sqrt{\frac{1}{14}\sum_{i=0}^{13}(T_{t-i} - \mu_{14})^2}$</t>
  </si>
  <si>
    <t>기류 온도 14일 표준편차</t>
  </si>
  <si>
    <t>$\frac{T_t - \mu_{14}}{\sigma_{14} + 1e-5}$</t>
  </si>
  <si>
    <t>기류 온도 14일 Z스코어</t>
  </si>
  <si>
    <t>$\sum_{i=0}^{27} \lvert T_{t-i} - T_{t-i-1} \rvert$</t>
  </si>
  <si>
    <t>기류 온도 28일 차분절대합</t>
  </si>
  <si>
    <t>$\sqrt{\sum_{i=0}^{27}(T_{t-i} - T_{t-i-1})^2}$</t>
  </si>
  <si>
    <t>기류 온도 28일 불변거리</t>
  </si>
  <si>
    <t>$\frac{T_t - T_{t-27}}{27}$</t>
  </si>
  <si>
    <t>기류 온도 28일 평균증가량</t>
  </si>
  <si>
    <t>$0.069 \cdot T_t + 0.931 \cdot E_{t-1}$</t>
  </si>
  <si>
    <t>기류 온도 28일 지수가중</t>
  </si>
  <si>
    <t>$\max(T_{t-27}, \dots, T_t)$</t>
  </si>
  <si>
    <t>기류 온도 28일 최댓값</t>
  </si>
  <si>
    <t>$\frac{1}{28}\sum_{i=0}^{27} T_{t-i}$</t>
  </si>
  <si>
    <t>기류 온도 28일 평균</t>
  </si>
  <si>
    <t>$\sqrt{\frac{1}{28}\sum_{i=0}^{27}(T_{t-i} - \mu_{28})^2}$</t>
  </si>
  <si>
    <t>기류 온도 28일 표준편차</t>
  </si>
  <si>
    <t>$\frac{T_t - \mu_{28}}{\sigma_{28} + 1e-5}$</t>
  </si>
  <si>
    <t>기류 온도 28일 Z스코어</t>
  </si>
  <si>
    <t>$\Delta s190_t$</t>
  </si>
  <si>
    <t>Airflow 온도 변화량</t>
  </si>
  <si>
    <t>외부 충격 14일 최댓값</t>
  </si>
  <si>
    <t>외부 충격 14일 총합</t>
  </si>
  <si>
    <t>외부 충격 28일 최댓값</t>
  </si>
  <si>
    <t>외부 충격 28일 총합</t>
  </si>
  <si>
    <t>$\begin{cases} t - \max\{\tau \mid \max(0, \Delta s191_\tau) &gt; 0\}, &amp; \text{if } \exists \tau \\ -1, &amp; \text{otherwise} \end{cases}$</t>
  </si>
  <si>
    <t>외부 충격 발생 이후 무사고 경과일</t>
  </si>
  <si>
    <t>$\Delta s191_t$</t>
  </si>
  <si>
    <t>G-Sense Error 변화량</t>
  </si>
  <si>
    <t>$\sum_{i=0}^{13} \Delta s192_{t-i}$</t>
  </si>
  <si>
    <t>14일 강제 종료 단기 폭주량</t>
  </si>
  <si>
    <t>드라이브 온도 7일 차분합</t>
  </si>
  <si>
    <t>드라이브 온도 7일 거리</t>
  </si>
  <si>
    <t>드라이브 온도 7일 증가량</t>
  </si>
  <si>
    <t>드라이브 온도 7일 지수가중</t>
  </si>
  <si>
    <t>$\max(T_{t-6}, \dots, T_t)$</t>
  </si>
  <si>
    <t>드라이브 온도 7일 최댓값</t>
  </si>
  <si>
    <t>드라이브 온도 7일 평균</t>
  </si>
  <si>
    <t>드라이브 온도 7일 편차</t>
  </si>
  <si>
    <t>드라이브 온도 7일 Z스코어</t>
  </si>
  <si>
    <t>드라이브 온도 14일 차분합</t>
  </si>
  <si>
    <t>드라이브 온도 14일 거리</t>
  </si>
  <si>
    <t>드라이브 온도 14일 증가량</t>
  </si>
  <si>
    <t>드라이브 온도 14일 지수가중</t>
  </si>
  <si>
    <t>드라이브 온도 14일 최댓값</t>
  </si>
  <si>
    <t>드라이브 온도 14일 평균</t>
  </si>
  <si>
    <t>드라이브 온도 14일 편차</t>
  </si>
  <si>
    <t>드라이브 온도 14일 Z스코어</t>
  </si>
  <si>
    <t>드라이브 온도 28일 차분합</t>
  </si>
  <si>
    <t>드라이브 온도 28일 거리</t>
  </si>
  <si>
    <t>드라이브 온도 28일 증가량</t>
  </si>
  <si>
    <t>드라이브 온도 28일 지수가중</t>
  </si>
  <si>
    <t>드라이브 온도 28일 최댓값</t>
  </si>
  <si>
    <t>드라이브 온도 28일 평균</t>
  </si>
  <si>
    <t>드라이브 온도 28일 편차</t>
  </si>
  <si>
    <t>드라이브 온도 28일 Z스코어</t>
  </si>
  <si>
    <t>$\Delta s194_t$</t>
  </si>
  <si>
    <t>HDA 온도 변화량</t>
  </si>
  <si>
    <t>$\sum_{i=0}^{6} \mathbb{I}(s194_{t-i} &gt; 40)$</t>
  </si>
  <si>
    <t>7일 중 온도가 40도를 초과한 일수</t>
  </si>
  <si>
    <t>7일 중 5일 이상 연속 상승 여부</t>
  </si>
  <si>
    <t>$\mathbb{I}\left( \sum_{i=0}^{6} \mathbb{I}(\Delta s197_{t-i} &gt; 0) \ge 5 \right)$</t>
  </si>
  <si>
    <t>불안정 섹터 14일 최댓값</t>
  </si>
  <si>
    <t>불안정 섹터 14일 총합</t>
  </si>
  <si>
    <t>불안정 섹터 28일 최댓값</t>
  </si>
  <si>
    <t>불안정 섹터 28일 총합</t>
  </si>
  <si>
    <t>$\mathbb{I}(s197_t &gt; 0)$</t>
  </si>
  <si>
    <t>$\Delta s197_t$</t>
  </si>
  <si>
    <t>pending sector 변화량</t>
  </si>
  <si>
    <t>불안정 섹터 회복 이벤트 플래그</t>
  </si>
  <si>
    <t>$\mathbb{I}(s197_t &lt; s197_{t-1})$</t>
  </si>
  <si>
    <t>복구 불가 섹터 14일 최댓값</t>
  </si>
  <si>
    <t>복구 불가 섹터 14일 총합</t>
  </si>
  <si>
    <t>복구 불가 섹터 28일 총합</t>
  </si>
  <si>
    <t>$\mathbb{I}(s198_t &gt; 0)$</t>
  </si>
  <si>
    <t>$\Delta s198_t$</t>
  </si>
  <si>
    <t>$\frac{s198_t}{s9_t + 1}$</t>
  </si>
  <si>
    <t>시간당 복구 불가 섹터 발생률</t>
  </si>
  <si>
    <t>$\sum_{i=0}^{13} \Delta s199_{t-i}$</t>
  </si>
  <si>
    <t>14일간 통신 오류 단기 폭주량</t>
  </si>
  <si>
    <t>통신 오류 14일 최댓값</t>
  </si>
  <si>
    <t>통신 오류 14일 총합</t>
  </si>
  <si>
    <t>통신 오류 28일 최댓값</t>
  </si>
  <si>
    <t>통신 오류 28일 총합</t>
  </si>
  <si>
    <t>$\begin{cases} t - \max\{\tau \mid \max(0, \Delta s199_\tau) &gt; 0\}, &amp; \text{if } \exists \tau \\ -1, &amp; \text{otherwise} \end{cases}$</t>
  </si>
  <si>
    <t>통신 오류 증가 이후 무사고 경과일</t>
  </si>
  <si>
    <t>$\Delta s199_t$</t>
  </si>
  <si>
    <t>UDMA CRC Error 변화량</t>
  </si>
  <si>
    <t>$\frac{s199_t}{Total\_Reads_t + Total\_Seeks_t + 1}$</t>
  </si>
  <si>
    <t>작업당 통신 연결 오류 밀도</t>
  </si>
  <si>
    <t>$\sum_{i=0}^{6} \lvert \Delta W_{t-i} - \Delta W_{t-i-1} \rvert$</t>
  </si>
  <si>
    <t>누적 쓰기량 7일 차분절대합</t>
  </si>
  <si>
    <t>$\frac{\Delta W_t - \Delta W_{t-6}}{6}$</t>
  </si>
  <si>
    <t>누적 쓰기량 7일 평균증가량</t>
  </si>
  <si>
    <t>$0.25 \cdot \Delta W_t + 0.75 \cdot E_{t-1}$</t>
  </si>
  <si>
    <t>누적 쓰기량 7일 지수가중</t>
  </si>
  <si>
    <t>$\max(\Delta W_{t-6}, \dots, \Delta W_t)$</t>
  </si>
  <si>
    <t>누적 쓰기량 7일 차분 최댓값</t>
  </si>
  <si>
    <t>$\frac{1}{7}\sum_{i=0}^{6} \Delta W_{t-i}$</t>
  </si>
  <si>
    <t>누적 쓰기량 7일 차분 평균</t>
  </si>
  <si>
    <t>$\sqrt{\frac{1}{7}\sum_{i=0}^{6}(\Delta W_{t-i} - \mu_{7})^2}$</t>
  </si>
  <si>
    <t>누적 쓰기량 7일 차분 편차</t>
  </si>
  <si>
    <t>$\sum_{i=0}^{6} \Delta W_{t-i}$</t>
  </si>
  <si>
    <t>누적 쓰기량 7일 차분 총합</t>
  </si>
  <si>
    <t>$\frac{\Delta W_t - \mu_7}{\sigma_7 + 1e-5}$</t>
  </si>
  <si>
    <t>누적 쓰기량 7일 Z스코어</t>
  </si>
  <si>
    <t>$\sum_{i=0}^{13} \lvert \Delta W_{t-i} - \Delta W_{t-i-1} \rvert$</t>
  </si>
  <si>
    <t>누적 쓰기량 14일 차분절대합</t>
  </si>
  <si>
    <t>$\max(\Delta W_{t-13}, \dots, \Delta W_t)$</t>
  </si>
  <si>
    <t>누적 쓰기량 14일 차분 최댓값</t>
  </si>
  <si>
    <t>$\frac{1}{14}\sum_{i=0}^{13} \Delta W_{t-i}$</t>
  </si>
  <si>
    <t>누적 쓰기량 14일 차분 평균</t>
  </si>
  <si>
    <t>$\sqrt{\frac{1}{14}\sum_{i=0}^{13}(\Delta W_{t-i} - \mu_{14})^2}$</t>
  </si>
  <si>
    <t>누적 쓰기량 14일 차분 편차</t>
  </si>
  <si>
    <t>$\sum_{i=0}^{13} \Delta W_{t-i}$</t>
  </si>
  <si>
    <t>누적 쓰기량 14일 차분 총합</t>
  </si>
  <si>
    <t>$\frac{\Delta W_t - \mu_{14}}{\sigma_{14} + 1e-5}$</t>
  </si>
  <si>
    <t>누적 쓰기량 14일 Z스코어</t>
  </si>
  <si>
    <t>$\sum_{i=0}^{27} \lvert \Delta W_{t-i} - \Delta W_{t-i-1} \rvert$</t>
  </si>
  <si>
    <t>누적 쓰기량 28일 차분절대합</t>
  </si>
  <si>
    <t>$\frac{\Delta W_t - \Delta W_{t-27}}{27}$</t>
  </si>
  <si>
    <t>누적 쓰기량 28일 평균증가량</t>
  </si>
  <si>
    <t>$0.069 \cdot \Delta W_t + 0.931 \cdot E_{t-1}$</t>
  </si>
  <si>
    <t>누적 쓰기량 28일 지수가중</t>
  </si>
  <si>
    <t>$\max(\Delta W_{t-27}, \dots, \Delta W_t)$</t>
  </si>
  <si>
    <t>누적 쓰기량 28일 차분 최댓값</t>
  </si>
  <si>
    <t>$\frac{1}{28}\sum_{i=0}^{27} \Delta W_{t-i}$</t>
  </si>
  <si>
    <t>누적 쓰기량 28일 차분 평균</t>
  </si>
  <si>
    <t>$\sqrt{\frac{1}{28}\sum_{i=0}^{27}(\Delta W_{t-i} - \mu_{28})^2}$</t>
  </si>
  <si>
    <t>누적 쓰기량 28일 차분 편차</t>
  </si>
  <si>
    <t>$\sum_{i=0}^{27} \Delta W_{t-i}$</t>
  </si>
  <si>
    <t>누적 쓰기량 28일 차분 총합</t>
  </si>
  <si>
    <t>$\frac{\Delta W_t - \mu_{28}}{\sigma_{28} + 1e-5}$</t>
  </si>
  <si>
    <t>누적 쓰기량 28일 Z스코어</t>
  </si>
  <si>
    <t>$\Delta s241_t$</t>
  </si>
  <si>
    <t>누적 읽기량 7일 차분절대합</t>
  </si>
  <si>
    <t>누적 읽기량 7일 평균증가량</t>
  </si>
  <si>
    <t>누적 읽기량 7일 지수가중</t>
  </si>
  <si>
    <t>누적 읽기량 7일 차분 최댓값</t>
  </si>
  <si>
    <t>누적 읽기량 7일 차분 평균</t>
  </si>
  <si>
    <t>누적 읽기량 7일 차분 편차</t>
  </si>
  <si>
    <t>누적 읽기량 7일 차분 총합</t>
  </si>
  <si>
    <t>누적 읽기량 7일 Z스코어</t>
  </si>
  <si>
    <t>누적 읽기량 14일 차분절대합</t>
  </si>
  <si>
    <t>$\frac{\Delta W_t - \Delta W_{t-13}}{13}$</t>
  </si>
  <si>
    <t>누적 읽기량 14일 평균증가량</t>
  </si>
  <si>
    <t>$0.133 \cdot \Delta W_t + 0.867 \cdot E_{t-1}$</t>
  </si>
  <si>
    <t>누적 읽기량 14일 지수가중</t>
  </si>
  <si>
    <t>누적 읽기량 14일 차분 최댓값</t>
  </si>
  <si>
    <t>누적 읽기량 14일 차분 평균</t>
  </si>
  <si>
    <t>누적 읽기량 14일 차분 편차</t>
  </si>
  <si>
    <t>누적 읽기량 14일 차분 총합</t>
  </si>
  <si>
    <t>누적 읽기량 14일 Z스코어</t>
  </si>
  <si>
    <t>누적 읽기량 28일 차분절대합</t>
  </si>
  <si>
    <t>누적 읽기량 28일 평균증가량</t>
  </si>
  <si>
    <t>누적 읽기량 28일 지수가중</t>
  </si>
  <si>
    <t>누적 읽기량 28일 차분 최댓값</t>
  </si>
  <si>
    <t>누적 읽기량 28일 차분 평균</t>
  </si>
  <si>
    <t>누적 읽기량 28일 차분 편차</t>
  </si>
  <si>
    <t>누적 읽기량 28일 차분 총합</t>
  </si>
  <si>
    <t>누적 읽기량 28일 Z스코어</t>
  </si>
  <si>
    <t>$\Delta s242_t$</t>
  </si>
  <si>
    <t>$\mathbb{I}(Seek\_Error\_Count_t &gt; 0)$</t>
  </si>
  <si>
    <t>탐색 오류 손상 여부</t>
  </si>
  <si>
    <t>탐색 오류 14일 최댓값</t>
  </si>
  <si>
    <t>탐색 오류 14일 총합</t>
  </si>
  <si>
    <t>탐색 오류 28일 최댓값</t>
  </si>
  <si>
    <t>탐색 오류 28일 총합</t>
  </si>
  <si>
    <t>$\Delta Seek\_Error\_Count_t$</t>
  </si>
  <si>
    <t>탐색 오류 변화량</t>
  </si>
  <si>
    <t>$\frac{Seek\_Error\_Count_t}{Total\_Seeks_t + 1}$</t>
  </si>
  <si>
    <t>탐색당 탐색 오류 밀도</t>
  </si>
  <si>
    <t>7일 평균 대비 당일 탐색 폭주 비율</t>
  </si>
  <si>
    <t>$\frac{\Delta Total\_Seeks_t}{\left( \frac{1}{7}\sum_{i=1}^{7} \Delta Total\_Seeks_{t-i} \right) + 1}$</t>
  </si>
  <si>
    <t>시간당 외부 충격 누적 피로도</t>
  </si>
  <si>
    <t>$\frac{s191_t}{s9_t + 1}$</t>
  </si>
  <si>
    <t>충격 및 탐색 오류 동시 발생 결합 지수</t>
  </si>
  <si>
    <t>$\Delta s191_t \times \Delta Seek\_Error_t$</t>
  </si>
  <si>
    <t>$\frac{\sum_{i=0}^{27} \lvert\Delta s191_{t-i}\rvert + 1}{\sum_{i=0}^{27} \lvert\Delta s189_{t-i}\rvert + 1}$</t>
  </si>
  <si>
    <t>충격 대비 헤드 불안정 전이 비율</t>
  </si>
  <si>
    <t>불량 섹터 원본 값</t>
  </si>
  <si>
    <t>누적 사용 시간</t>
  </si>
  <si>
    <t>전송 경로 오류 원본 값</t>
  </si>
  <si>
    <t>Airflow 온도 원본 값</t>
  </si>
  <si>
    <t>G-Sense Error 원본 값</t>
  </si>
  <si>
    <t>HDA 온도 원본 값</t>
  </si>
  <si>
    <t>UDMA CRC Error 원본 값</t>
  </si>
  <si>
    <t>고온 환경 에러 발생 지수</t>
  </si>
  <si>
    <t>$\max(0, s194_t - 40) \times E_t$</t>
  </si>
  <si>
    <t>7일간 40도 초과 열 피로 누적량(면적)</t>
  </si>
  <si>
    <t>$\sum_{i=0}^{6} \max(0, s194_{t-i} - 40)$</t>
  </si>
  <si>
    <t>고온 스트레스 및 누적 쓰기량 결합 지수</t>
  </si>
  <si>
    <t>$\max(0, s194_t - 40)^2 \times \Delta s241_t$</t>
  </si>
  <si>
    <t>5초 지연 원본 값</t>
  </si>
  <si>
    <t>5초 지연 14일 최댓값</t>
  </si>
  <si>
    <t>5초 지연 14일 총합</t>
  </si>
  <si>
    <t>5초 지연 28일 최댓값</t>
  </si>
  <si>
    <t>5초 지연 28일 총합</t>
  </si>
  <si>
    <t>$\mathbb{I}(Timeout\_5s_t &gt; 0)$</t>
  </si>
  <si>
    <t>5초 이상 지연 손상 여부</t>
  </si>
  <si>
    <t>$\Delta Timeout\_5s_t$</t>
  </si>
  <si>
    <t>5초 지연 변화량</t>
  </si>
  <si>
    <t>$\frac{Timeout\_Total_t}{Total\_Reads_t + 1}$</t>
  </si>
  <si>
    <t>읽기 작업 대비 에러율 (밀도)</t>
  </si>
  <si>
    <t>$\frac{Timeout\_Total_t}{Total\_Seeks_t + 1}$</t>
  </si>
  <si>
    <t>탐색 작업 대비 에러율 (밀도)</t>
  </si>
  <si>
    <t>타임아웃 심각도 비율</t>
  </si>
  <si>
    <t>$\frac{Timeout\_Total_t + 1}{Timeout\_5s_t + 1}$</t>
  </si>
  <si>
    <t>$\max(0, \Delta Timeout\_Total_t) \times \max(0, \Delta s198_{t-1})$</t>
  </si>
  <si>
    <t>시차 결합 지수</t>
  </si>
  <si>
    <t>전체 타임아웃 원본 값</t>
  </si>
  <si>
    <t>전체 지연 14일 최댓값</t>
  </si>
  <si>
    <t>전체 지연 14일 총합</t>
  </si>
  <si>
    <t>전체 지연 28일 최댓값</t>
  </si>
  <si>
    <t>전체 지연 28일 총합</t>
  </si>
  <si>
    <t>$\begin{cases} t - \max\{\tau \mid \max(0, \Delta Timeout\_Total_\tau) &gt; 0\}, &amp; \text{if } \exists \tau \\ -1, &amp; \text{otherwise} \end{cases}$</t>
  </si>
  <si>
    <t>마지막 Timeout 증가 이후 경과일</t>
  </si>
  <si>
    <t>$\Delta Timeout\_Total_t$</t>
  </si>
  <si>
    <t>전체 타임아웃 변화량</t>
  </si>
  <si>
    <t>총 읽기 시도 7일 차분절대합</t>
  </si>
  <si>
    <t>총 읽기 시도 7일 평균증가량</t>
  </si>
  <si>
    <t>총 읽기 시도 7일 지수가중</t>
  </si>
  <si>
    <t>총 읽기 시도 7일 차분 최댓값</t>
  </si>
  <si>
    <t>총 읽기 시도 7일 차분 평균</t>
  </si>
  <si>
    <t>총 읽기 시도 7일 차분 편차</t>
  </si>
  <si>
    <t>총 읽기 시도 7일 차분 총합</t>
  </si>
  <si>
    <t>총 읽기 시도 7일 Z스코어</t>
  </si>
  <si>
    <t>총 읽기 시도 14일 차분절대합</t>
  </si>
  <si>
    <t>총 읽기 시도 14일 평균증가량</t>
  </si>
  <si>
    <t>총 읽기 시도 14일 지수가중</t>
  </si>
  <si>
    <t>총 읽기 시도 14일 차분 최댓값</t>
  </si>
  <si>
    <t>총 읽기 시도 14일 차분 평균</t>
  </si>
  <si>
    <t>총 읽기 시도 14일 차분 편차</t>
  </si>
  <si>
    <t>총 읽기 시도 14일 차분 총합</t>
  </si>
  <si>
    <t>총 읽기 시도 14일 Z스코어</t>
  </si>
  <si>
    <t>총 읽기 시도 28일 차분절대합</t>
  </si>
  <si>
    <t>총 읽기 시도 28일 평균증가량</t>
  </si>
  <si>
    <t>총 읽기 시도 28일 지수가중</t>
  </si>
  <si>
    <t>총 읽기 시도 28일 차분 최댓값</t>
  </si>
  <si>
    <t>총 읽기 시도 28일 차분 평균</t>
  </si>
  <si>
    <t>총 읽기 시도 28일 차분 편차</t>
  </si>
  <si>
    <t>총 읽기 시도 28일 차분 총합</t>
  </si>
  <si>
    <t>총 읽기 시도 28일 Z스코어</t>
  </si>
  <si>
    <t>총 탐색 작업 7일 차분절대합</t>
  </si>
  <si>
    <t>총 탐색 작업 7일 평균증가량</t>
  </si>
  <si>
    <t>총 탐색 작업 7일 지수가중</t>
  </si>
  <si>
    <t>총 탐색 작업 7일 차분 최댓값</t>
  </si>
  <si>
    <t>총 탐색 작업 7일 차분 평균</t>
  </si>
  <si>
    <t>총 탐색 작업 7일 차분 편차</t>
  </si>
  <si>
    <t>총 탐색 작업 7일 차분 총합</t>
  </si>
  <si>
    <t>총 탐색 작업 7일 Z스코어</t>
  </si>
  <si>
    <t>총 탐색 작업 14일 차분절대합</t>
  </si>
  <si>
    <t>총 탐색 작업 14일 평균증가량</t>
  </si>
  <si>
    <t>총 탐색 작업 14일 지수가중</t>
  </si>
  <si>
    <t>총 탐색 작업 14일 차분 최댓값</t>
  </si>
  <si>
    <t>총 탐색 작업 14일 차분 평균</t>
  </si>
  <si>
    <t>총 탐색 작업 14일 차분 편차</t>
  </si>
  <si>
    <t>총 탐색 작업 14일 차분 총합</t>
  </si>
  <si>
    <t>총 탐색 작업 14일 Z스코어</t>
  </si>
  <si>
    <t>총 탐색 작업 28일 차분절대합</t>
  </si>
  <si>
    <t>총 탐색 작업 28일 평균증가량</t>
  </si>
  <si>
    <t>총 탐색 작업 28일 지수가중</t>
  </si>
  <si>
    <t>총 탐색 작업 28일 차분 최댓값</t>
  </si>
  <si>
    <t>총 탐색 작업 28일 차분 평균</t>
  </si>
  <si>
    <t>총 탐색 작업 28일 차분 편차</t>
  </si>
  <si>
    <t>총 탐색 작업 28일 차분 총합</t>
  </si>
  <si>
    <t>총 탐색 작업 28일 Z스코어</t>
  </si>
  <si>
    <t>$\frac{\Delta s198_t}{\left( \frac{1}{14}\sum_{i=1}^{14} \Delta s198_{t-i} \right) + 1}$</t>
  </si>
  <si>
    <t>복구 불가 섹터 중기 폭증 비율</t>
  </si>
  <si>
    <t>$(\Delta s241_t + \Delta s242_t) - (\Delta s241_{t-7} + \Delta s242_{t-7})$</t>
  </si>
  <si>
    <t>총 작업량 7일 가속도</t>
  </si>
  <si>
    <t>누적 사용 시간 대비 총 작업량 비율</t>
  </si>
  <si>
    <t>$\frac{s9_t + 1}{\Delta s241_t + \Delta s242_t + 1}$</t>
  </si>
  <si>
    <t>7일 평균 대비 당일 쓰기량 폭주 비율</t>
  </si>
  <si>
    <t>$\frac{\Delta s241_t}{\left( \frac{1}{7}\sum_{i=1}^{7} \Delta s241_{t-i} \right) + 1}$</t>
  </si>
  <si>
    <t>쓰기량 대비 헤드 정렬 불량률</t>
  </si>
  <si>
    <t>$\frac{s189_t + 1}{\Delta s241_t + 1}$</t>
  </si>
  <si>
    <t>0이었다가 갑자기 튄 지표의 개수</t>
  </si>
  <si>
    <t>$\sum_{k \in \mathcal{K}} \mathbb{I}(s_{k,t} &gt; 0 \land s_{k,t-1} = 0)$</t>
  </si>
  <si>
    <t>초기 관측 구간(노이즈) 필터링</t>
  </si>
  <si>
    <t>나이(누적치) 대비 당일 총 작업량 비율</t>
  </si>
  <si>
    <t>작업 감소(음수) 시 에러 방지용 절댓값 적용</t>
  </si>
  <si>
    <t>Temporal Diff (유지)</t>
  </si>
  <si>
    <t>28일 장기적 기계 탐색 트렌드를 완만히 따라가는 이동평균 지표</t>
  </si>
  <si>
    <t>28일 만성적 추세에서 보여지는 일평균 탐색 증감 기울기</t>
  </si>
  <si>
    <t>28일간 잦은 탐색 횟수 변동으로 쌓인 만성적 물리 구동 피로합</t>
  </si>
  <si>
    <t>28일 만성 기저 평균을 넘어선 당일의 헤드 탐색 비정상 수치</t>
  </si>
  <si>
    <t>28일 장기 만성적인 기계 헤드 동작 횟수의 산포 불규칙성</t>
  </si>
  <si>
    <t>28일 장기간에 걸쳐 평균화된 만성 기계 탐색 기저 부하</t>
  </si>
  <si>
    <t>28일 만성 장기 구동 과정에서 누적된 기계 탐색 부하 총량</t>
  </si>
  <si>
    <t>28일 내 헤드 구동 기계 부하가 집중된 장기 최대 스파이크 일</t>
  </si>
  <si>
    <t>14일 중기 탐색 작업 패턴을 부드럽게 지시하는 트렌드 지표</t>
  </si>
  <si>
    <t>14일 중기 탐색 횟수의 전반적 증감 추세 기울기</t>
  </si>
  <si>
    <t>14일 중기 탐색 횟수의 지속적인 널뛰기로 인한 변동 피로도</t>
  </si>
  <si>
    <t>14일 중기 기저 상태를 반영한 당일 탐색 횟수 이상 스케일</t>
  </si>
  <si>
    <t>14일 중기 탐색 동작의 요동치는 분산 수준</t>
  </si>
  <si>
    <t>14일간 중기 일평균 헤드 탐색 기계 동작 횟수</t>
  </si>
  <si>
    <t>14일 중기적으로 누적된 헤드 탐색 이동 부하 데미지</t>
  </si>
  <si>
    <t>14일 내 헤드 구동 액추에이터의 발생 최대 트래픽 스파이크</t>
  </si>
  <si>
    <t>7일 내 탐색 트래픽 추세에 지수적으로 민감하게 반응하는 평균</t>
  </si>
  <si>
    <t>7일간 매일 기계 탐색 작업이 늘거나 줄어든 선형 추세</t>
  </si>
  <si>
    <t>7일간 헤드 탐색 횟수의 급증/급감 누적 플래핑(Flapping)</t>
  </si>
  <si>
    <t>과거 7일 탐색 부하 대비 당일 탐색 시도의 스파이크 지수</t>
  </si>
  <si>
    <t>7일간 헤드 탐색 작업의 불규칙한 산포도</t>
  </si>
  <si>
    <t>7일간 단기 일평균 헤드 탐색 구동 부하 빈도</t>
  </si>
  <si>
    <t>7일간 액추에이터 기계 부품이 수행한 탐색 작업 총량</t>
  </si>
  <si>
    <t>7일 내 디스크 헤드가 트랙을 가장 많이 찾아다닌 일일 피크</t>
  </si>
  <si>
    <t>28일 장기적 동작 패턴 트렌드를 부드럽게 추종하는 추세</t>
  </si>
  <si>
    <t>28일 장기간에 걸친 평균적 동작 빈도 증감 추세 기울기</t>
  </si>
  <si>
    <t>28일간 동작 빈도 널뛰기로 인해 축적된 장기 피로합</t>
  </si>
  <si>
    <t>28일 장기 평균 기저 상태 대비 당일 읽기 동작 이례성</t>
  </si>
  <si>
    <t>28일 장기 읽기 동작 횟수의 불규칙 분산 폭</t>
  </si>
  <si>
    <t>28일 장기간 평균적으로 감당해온 만성 동작 부하</t>
  </si>
  <si>
    <t>28일 동안 드라이브 구동부에 가해진 장기 누적 동작 수</t>
  </si>
  <si>
    <t>28일 내 가장 집중적으로 기계가 동작한 날의 횟수 스파이크</t>
  </si>
  <si>
    <t>14일간 읽기 횟수 증감 트렌드의 지수가중 이동평균</t>
  </si>
  <si>
    <t>14일 중기 일일 동작 횟수 선형 추이 기울기</t>
  </si>
  <si>
    <t>14일 중기 읽기 동작 횟수의 급변 피로도 거리</t>
  </si>
  <si>
    <t>14일 중기 동작 기준치 대비 당일 작업 폭주 스케일</t>
  </si>
  <si>
    <t>14일간 읽기 동작 빈도의 중기적 불규칙 산포도</t>
  </si>
  <si>
    <t>14일간 디스크 구동부의 중기 일평균 동작 부하 빈도</t>
  </si>
  <si>
    <t>14일간 가해진 중기 누적 순수 읽기 횟수 총합</t>
  </si>
  <si>
    <t>14일 내 발생한 하루 기준 읽기 동작 횟수의 최대 피크</t>
  </si>
  <si>
    <t>7일 내 읽기 동작 빈도 증가 트렌드의 단기 지수가중</t>
  </si>
  <si>
    <t>7일간 단기 일일 동작 횟수 증감 추세선 기울기</t>
  </si>
  <si>
    <t>7일간 동작 횟수 증가/감소가 누적된 총 굴곡 거리</t>
  </si>
  <si>
    <t>과거 7일 동작 평균 대비 당일 횟수 폭주 이상치</t>
  </si>
  <si>
    <t>7일간 읽기 동작 횟수의 기계적 불규칙 산포</t>
  </si>
  <si>
    <t>7일간 일평균 디스크 읽기 동작 횟수</t>
  </si>
  <si>
    <t>7일간 드라이브에 가해진 순수 읽기 동작 실행 총 횟수</t>
  </si>
  <si>
    <t>7일 내 하루 기준 디스크 암이 읽기 동작을 수행한 횟수 피크</t>
  </si>
  <si>
    <t>28일 장기 읽기 부하의 부드러운 지수가중 트렌드</t>
  </si>
  <si>
    <t>28일 장기간 읽기 트래픽의 선형 추세 기울기</t>
  </si>
  <si>
    <t>28일 읽기 트래픽의 변화 총량 및 장기 굴곡 피로도</t>
  </si>
  <si>
    <t>28일 장기 기저 상태 대비 당일 읽기 폭주 감지</t>
  </si>
  <si>
    <t>28일간 만성적인 장기 읽기 부하의 불안정성</t>
  </si>
  <si>
    <t>28일간 디스크가 지속 감당한 기저 읽기 부하 상태</t>
  </si>
  <si>
    <t>28일 동안 기록된 만성 장기 총 읽기 데이터량</t>
  </si>
  <si>
    <t>28일 내 발생한 하루 최대 읽기 데이터 스파이크</t>
  </si>
  <si>
    <t>최근 14일 내 읽기량 트렌드 민감 지수가중 평균</t>
  </si>
  <si>
    <t>14일간 중기 일평균 읽기 부하 선형 트렌드</t>
  </si>
  <si>
    <t>14일간 잦은 읽기 요청 증감의 피로도 누적</t>
  </si>
  <si>
    <t>과거 14일 기준 대비 당일 읽기 부하 이상치 척도</t>
  </si>
  <si>
    <t>14일간 읽기 부하의 중기적 불규칙 산포도</t>
  </si>
  <si>
    <t>14일간 디스크가 처리한 중기 일평균 읽기 부하량</t>
  </si>
  <si>
    <t>14일 동안 기록된 순수 중기 총 읽기 데이터량</t>
  </si>
  <si>
    <t>14일 내 발생한 하루 최대 데이터 읽기 부하 피크</t>
  </si>
  <si>
    <t>최근 7일 내 단기 읽기 부하 폭증 감지 추세</t>
  </si>
  <si>
    <t>7일간 일평균 단기 읽기 부하 상승 선형 추세</t>
  </si>
  <si>
    <t>7일간 읽기 요청 급증/급감을 반복한 총 이동 거리</t>
  </si>
  <si>
    <t>과거 7일 읽기량 대비 당일 폭주 수준 스케일링</t>
  </si>
  <si>
    <t>7일간 읽기 부하의 불규칙한 산포도</t>
  </si>
  <si>
    <t>7일간 디스크가 처리한 단기 일평균 읽기 부하량</t>
  </si>
  <si>
    <t>7일 동안 드라이브가 순수하게 읽어낸 총 데이터량</t>
  </si>
  <si>
    <t>7일 내 발생한 하루 최대 데이터 읽기 부하 피크</t>
  </si>
  <si>
    <t>일일 읽기 강도</t>
  </si>
  <si>
    <t>누적 읽기량 (상태)</t>
  </si>
  <si>
    <t>장기 28일 쓰기량 트렌드 파악 지수가중 이동평균</t>
  </si>
  <si>
    <t>28일간 만성적인 일일 쓰기 트래픽 증가/감소 추세</t>
  </si>
  <si>
    <t>28일간 잦은 I/O 전환으로 누적된 장기 부하 피로도</t>
  </si>
  <si>
    <t>장기 28일 기준치 대비 당일 부하의 이상 수치</t>
  </si>
  <si>
    <t>28일간 쓰기 부하의 장기 만성적 불규칙 수준</t>
  </si>
  <si>
    <t>28일간 디스크가 장기적으로 감당한 기저 쓰기 부하</t>
  </si>
  <si>
    <t>28일 동안 기록된 만성적인 순수 쓰기 총 데이터량</t>
  </si>
  <si>
    <t>28일 내 발생한 하루 최대 쓰기 데이터 스파이크</t>
  </si>
  <si>
    <t>14일간 중기적 쓰기 부하의 전환 피로도 거리</t>
  </si>
  <si>
    <t>과거 14일 평균 대비 당일 쓰기량 폭주 통계적 척도</t>
  </si>
  <si>
    <t>14일간 쓰기 부하량의 중기적 불규칙 산포도</t>
  </si>
  <si>
    <t>14일간 디스크가 처리한 중기 일평균 쓰기 부하량</t>
  </si>
  <si>
    <t>14일 동안 기록된 순수 쓰기 데이터 중기 총량</t>
  </si>
  <si>
    <t>14일 내 발생한 하루 최대 데이터 쓰기 부하 피크</t>
  </si>
  <si>
    <t>최근 7일 쓰기량 폭증에 가중치를 둔 트렌드</t>
  </si>
  <si>
    <t>7일간 일평균 쓰기 부하 상승 선형 추세</t>
  </si>
  <si>
    <t>7일간 쓰기 부하의 급증/급감을 반복한 총 이동 거리</t>
  </si>
  <si>
    <t>과거 7일 평균 대비 당일 쓰기량 폭주의 이상 수치</t>
  </si>
  <si>
    <t>7일간 쓰기 부하량의 불규칙한 요동(산포도)</t>
  </si>
  <si>
    <t>7일간 디스크가 처리한 일평균 쓰기 부하량</t>
  </si>
  <si>
    <t>7일 동안 기록된 순수 쓰기 데이터 총량</t>
  </si>
  <si>
    <t>7일 내 발생한 하루 최대 데이터 쓰기 부하 피크</t>
  </si>
  <si>
    <t>일일 쓰기 강도</t>
  </si>
  <si>
    <t>누적 쓰기량 (상태)</t>
  </si>
  <si>
    <t>장기 aging</t>
  </si>
  <si>
    <t>[이상치 방어] $\max$가 유발하는 정규화 왜곡을 막기 위해 $P_{95}$ 백분위수로 대체</t>
  </si>
  <si>
    <t>[이름 수정] Density $\rightarrow$ Burst로 의미 일치</t>
  </si>
  <si>
    <t>단순 변화량 윈도우 합산 (유지)</t>
  </si>
  <si>
    <t>증가된(양수) 부분만 필터링 합산 (유지)</t>
  </si>
  <si>
    <t>당일($t$) 제외 과거 7일 기준 (유지)</t>
  </si>
  <si>
    <t>28일 내 발생한 기계적 구동 불안정성 누적 스트레스</t>
  </si>
  <si>
    <t>28일 내 발생한 헤드 정렬 불량 쓰기의 최대 피크</t>
  </si>
  <si>
    <t>14일 내 발생한 치명적 복구 불가 에러 누적량</t>
  </si>
  <si>
    <t>14일 내 발생한 복구 불가(Uncorrectable) 에러 피크</t>
  </si>
  <si>
    <t>급격한 헤드 부상 이상 탐지</t>
  </si>
  <si>
    <t>기계적 결함 상태</t>
  </si>
  <si>
    <t>$\Delta$ 기반 폭주 연산 (유지)</t>
  </si>
  <si>
    <t>당일 쓰기량 대비 누적 헤드 정렬 불량 비율</t>
  </si>
  <si>
    <t>28일 내 SATA 속도 저하 장기 누적 발생 횟수</t>
  </si>
  <si>
    <t>28일 내 SATA 속도 저하 현상의 최대 피크</t>
  </si>
  <si>
    <t>14일 내 SATA 속도 저하 현상 누적 발생 횟수</t>
  </si>
  <si>
    <t>14일 내 SATA 속도 저하 현상의 최대 피크</t>
  </si>
  <si>
    <t>degradation rate</t>
  </si>
  <si>
    <t>전송 품질 상태</t>
  </si>
  <si>
    <t>당일 발생량과 누적 사용 시간 곱셈</t>
  </si>
  <si>
    <t>역방향 뒤집어 Density로 통일</t>
  </si>
  <si>
    <t>28일 내 기계 구동부 탐색 실패 장기 누적 횟수</t>
  </si>
  <si>
    <t>28일 내 액추에이터 탐색 실패 횟수의 최대 피크</t>
  </si>
  <si>
    <t>14일 내 기계 구동부 탐색 실패 누적 횟수</t>
  </si>
  <si>
    <t>14일 내 액추에이터 탐색 실패 횟수의 최대 피크</t>
  </si>
  <si>
    <t>헤드 불안정 속도</t>
  </si>
  <si>
    <t>[표준 cases] 순수 증가 이벤트 기준</t>
  </si>
  <si>
    <t>어제 불량 발생 $\times$ 오늘 지연 발생</t>
  </si>
  <si>
    <t>전체 타임아웃 대비 치명적 지연(5s) 비율</t>
  </si>
  <si>
    <t>작업량 차이의 절댓값을 전체로 나눔</t>
  </si>
  <si>
    <t>28일 내 펌웨어 응답 지연 현상 장기 누적 횟수</t>
  </si>
  <si>
    <t>28일 내 발생한 타임아웃 횟수의 최대 피크</t>
  </si>
  <si>
    <t>14일 내 펌웨어 응답 지연 현상 누적 횟수</t>
  </si>
  <si>
    <t>14일 내 발생한 타임아웃 횟수의 최대 피크</t>
  </si>
  <si>
    <t>28일 내 치명적 펌웨어 멈춤 장기 누적 발생 횟수</t>
  </si>
  <si>
    <t>28일 내 발생한 5초 초과 I/O 펜딩의 최대 피크</t>
  </si>
  <si>
    <t>14일 내 치명적 펌웨어 멈춤 현상의 누적 발생 횟수</t>
  </si>
  <si>
    <t>14일 내 발생한 5초 초과 I/O 펜딩(멈춤)의 단기 피크</t>
  </si>
  <si>
    <t>28일 내 통신 에러 누적 발생 장기 횟수 합산</t>
  </si>
  <si>
    <t>28일 내 컨트롤러 간 통신 에러의 최대 피크</t>
  </si>
  <si>
    <t>14일 내 통신 에러 누적 발생 횟수 합산</t>
  </si>
  <si>
    <t>14일 내 컨트롤러 간 통신 에러(CRC)의 최대 피크</t>
  </si>
  <si>
    <t>극단 지연 상태</t>
  </si>
  <si>
    <t>급성 freeze 탐지</t>
  </si>
  <si>
    <t>누적 지연 상태</t>
  </si>
  <si>
    <t>시스템 악화 속도</t>
  </si>
  <si>
    <t>통신 불안정성 증가</t>
  </si>
  <si>
    <t>인터페이스 오류 누적</t>
  </si>
  <si>
    <t>로그 내 음수 충돌 방지 및 부호 복원</t>
  </si>
  <si>
    <t>변화량 기준 단순 곱셈</t>
  </si>
  <si>
    <t>[음수 상쇄 방어] 절댓값(\lvert, \rvert) 씌워서 순수 누적 충격량만 비교</t>
  </si>
  <si>
    <t>당일 변화량 기준 단순 곱셈</t>
  </si>
  <si>
    <t>역방향 뒤집어 Rate로 통일</t>
  </si>
  <si>
    <t>28일 내 장기 누적된 외부 물리 충격 횟수 합산</t>
  </si>
  <si>
    <t>28일 내 발생한 외부 물리적 충격의 최대치</t>
  </si>
  <si>
    <t>14일 내 누적된 외부 물리 충격 횟수 합산</t>
  </si>
  <si>
    <t>14일 내 발생한 외부 물리적 충격(G-Sense)의 최대치</t>
  </si>
  <si>
    <t>충격 발생 빈도 증가</t>
  </si>
  <si>
    <t>누적 충격 횟수</t>
  </si>
  <si>
    <t>40도 이하 강제 0 처리 후 당일 에러 총합 곱셈</t>
  </si>
  <si>
    <t>Physics-style 적분 연산 (유지)</t>
  </si>
  <si>
    <t>장기 28일 내 온도 변화 추이의 지수가중 이동평균</t>
  </si>
  <si>
    <t>28일간 만성적인 쿨링 성능 저하 여부 추세</t>
  </si>
  <si>
    <t>28일 온도 시계열 장기 복잡도 및 누적 열충격</t>
  </si>
  <si>
    <t>28일 장기적 온도 변화로 누적된 열 피로도 총합</t>
  </si>
  <si>
    <t>장기 28일 평균 대비 당일 온도의 통계적 이상 수치</t>
  </si>
  <si>
    <t>28일간 기류 온도의 장기 불규칙 산포도</t>
  </si>
  <si>
    <t>28일간 계절성 포함 평균 내부 기류 온도 상태</t>
  </si>
  <si>
    <t>28일간 기록된 내부 기류 온도의 최대치</t>
  </si>
  <si>
    <t>최근 14일 내 기류 온도 변화의 지수가중 이동평균</t>
  </si>
  <si>
    <t>14일간 일평균 내부 기류 온도 상승/하락 선형 추세</t>
  </si>
  <si>
    <t>14일간 온도 시계열의 복잡도 및 열충격 스케일</t>
  </si>
  <si>
    <t>14일간 냉각/발열을 오가며 발생한 중기 열 변화 거리</t>
  </si>
  <si>
    <t>과거 14일 평균 대비 당일 온도의 통계적 이상 수치</t>
  </si>
  <si>
    <t>14일간 내부 기류 온도의 불규칙한 산포도</t>
  </si>
  <si>
    <t>14일간 평균 내부 기류 온도 상태</t>
  </si>
  <si>
    <t>14일간 기록된 내부 기류 온도의 최대치</t>
  </si>
  <si>
    <t>최근 7일 내 급성 냉각 문제에 가중치를 둔 추세</t>
  </si>
  <si>
    <t>7일간 일평균 내부 기류 온도 상승/하락 선형 추세</t>
  </si>
  <si>
    <t>7일간 온도 시계열의 복잡도 및 열충격 스케일</t>
  </si>
  <si>
    <t>7일간 냉각/발열을 오가며 발생한 총 열 변화 거리</t>
  </si>
  <si>
    <t>과거 7일 평균 대비 당일 온도의 통계적 이상 수치</t>
  </si>
  <si>
    <t>7일간 내부 기류 온도의 불규칙한 산포도</t>
  </si>
  <si>
    <t>7일간 평균 내부 기류 온도 상태</t>
  </si>
  <si>
    <t>온도 변동성</t>
  </si>
  <si>
    <t>내부 공기 흐름 지표</t>
  </si>
  <si>
    <t>조건 기반 카운트 (유지)</t>
  </si>
  <si>
    <t>40도 초과분에 가중치(제곱) 부여</t>
  </si>
  <si>
    <t>장기 28일 내 발열 트렌드의 지수가중 이동평균</t>
  </si>
  <si>
    <t>28일간 일평균 장기 만성 온도 상승 선형 추세</t>
  </si>
  <si>
    <t>28일간 드라이브 표면에 누적된 만성적 열 충격 스케일</t>
  </si>
  <si>
    <t>28일간 드라이브에 누적된 만성 열 피로도 총합</t>
  </si>
  <si>
    <t>과거 28일 평균 발열 대비 당일의 장기 과열 이상치</t>
  </si>
  <si>
    <t>28일간 온도 산포에 따른 장기간의 부하 불규칙성</t>
  </si>
  <si>
    <t>28일간 만성적인 드라이브 평균 발열 상태</t>
  </si>
  <si>
    <t>28일간 기록된 드라이브 표면 온도 장기 최대치</t>
  </si>
  <si>
    <t>14일 내 드라이브 온도 변화의 지수가중 이동평균</t>
  </si>
  <si>
    <t>14일간 일평균 드라이브 온도 선형 증가 추세</t>
  </si>
  <si>
    <t>14일간 드라이브 표면에 가해진 중기 열 충격</t>
  </si>
  <si>
    <t>14일간 드라이브에 발생한 중기 열 변화량 누적</t>
  </si>
  <si>
    <t>과거 14일 발열 대비 당일의 중기 과열 이상치</t>
  </si>
  <si>
    <t>14일간 드라이브 온도의 중기 산포도</t>
  </si>
  <si>
    <t>14일간 드라이브 평균 발열 상태</t>
  </si>
  <si>
    <t>14일간 기록된 드라이브 표면 온도의 중기 최대치</t>
  </si>
  <si>
    <t>7일 내 드라이브 과열 상태에 가중치를 둔 추세</t>
  </si>
  <si>
    <t>7일간 일평균 드라이브 온도 선형 증가 추세</t>
  </si>
  <si>
    <t>7일간 드라이브 표면에 가해진 단기 열 충격</t>
  </si>
  <si>
    <t>7일간 드라이브 수축/팽창 변화의 이동 거리</t>
  </si>
  <si>
    <t>과거 7일 발열 대비 당일의 비정상적 과열 감지</t>
  </si>
  <si>
    <t>7일간 드라이브 온도의 불안정한 요동 수준</t>
  </si>
  <si>
    <t>7일간 드라이브 평균 발열 상태</t>
  </si>
  <si>
    <t>7일간 기록된 드라이브 표면 온도의 단기 최대치</t>
  </si>
  <si>
    <t>온도 상승 가속도</t>
  </si>
  <si>
    <t>하드웨어 절대 온도</t>
  </si>
  <si>
    <t>[집합 K 확정] 타겟 변수 명확화</t>
  </si>
  <si>
    <t>단순 발생 여부 확인</t>
  </si>
  <si>
    <t>패리티 오류 또는 통신 오류 발생</t>
  </si>
  <si>
    <t>14일 내 발생한 전송 경로 오류 장기 누적 데미지</t>
  </si>
  <si>
    <t>14일 내 발생한 전송 경로 오류 최대 피크</t>
  </si>
  <si>
    <t>7일 내 발생한 전송 경로 오류 누적 데미지</t>
  </si>
  <si>
    <t>7일 내 발생한 전송 경로 오류 최대 피크</t>
  </si>
  <si>
    <t>3일 내 발생한 전송 경로 오류 급성 누적 데미지</t>
  </si>
  <si>
    <t>3일 내 발생한 패리티 오류(End-to-End)의 급성 피크</t>
  </si>
  <si>
    <t>상태 레벨</t>
  </si>
  <si>
    <t>급성 오류 증가</t>
  </si>
  <si>
    <t>Inverse 뒤집어 Rate로 통일</t>
  </si>
  <si>
    <t>[논리 위험 수정] 분모를 14일간의 실제 누적 구동 시간($\sum \Delta s9$)으로 변경</t>
  </si>
  <si>
    <t>전일 대비 누적 수치 감소 여부</t>
  </si>
  <si>
    <t>임계치 도달 여부 확인</t>
  </si>
  <si>
    <t>에러 복구(음수)도 이벤트로 간주하여 절댓값 가중 합산</t>
  </si>
  <si>
    <t>28일 내 물리적으로 파괴된 섹터 장기 누적량</t>
  </si>
  <si>
    <t>28일 내 발생한 오프라인 복구 불가 섹터의 최대 피크</t>
  </si>
  <si>
    <t>14일 내 물리적으로 파괴된 섹터의 총 누적량</t>
  </si>
  <si>
    <t>14일 내 발생한 오프라인 복구 불가 섹터의 최대 피크</t>
  </si>
  <si>
    <t>28일 내 대기 섹터로 전환된 장기 누적 횟수</t>
  </si>
  <si>
    <t>28일 내 대기 섹터 증가량의 최대 피크</t>
  </si>
  <si>
    <t>14일 내 대기 섹터로 전환된 총 누적 횟수</t>
  </si>
  <si>
    <t>14일 내 대기 섹터(Pending) 증가량의 최대 피크</t>
  </si>
  <si>
    <t>28일 내 발생한 치명적 복구 불가 장기 누적량</t>
  </si>
  <si>
    <t>28일 내 발생한 복구 불가 에러 최대 피크</t>
  </si>
  <si>
    <t>burst 탐지 핵심</t>
  </si>
  <si>
    <t>회복/악화 신호</t>
  </si>
  <si>
    <t>물리 손상 누적</t>
  </si>
  <si>
    <t>치명도 상승 신호</t>
  </si>
  <si>
    <t>누적 원본값 기준 비율 연산</t>
  </si>
  <si>
    <t>불량 섹터 감소분은 0 처리 후 누적 시간 곱셈</t>
  </si>
  <si>
    <t>전일 대비 당일 에러 발생 비율</t>
  </si>
  <si>
    <t>이중 지시 함수를 통한 논리 연산 (유지)</t>
  </si>
  <si>
    <t>[표준 cases] 미발생 시 -1 반환</t>
  </si>
  <si>
    <t>과거부터 현재까지 발생 이력 확인</t>
  </si>
  <si>
    <t>누적 원본값 기준 발생 확인</t>
  </si>
  <si>
    <t>악화 속도</t>
  </si>
  <si>
    <t>열4</t>
  </si>
  <si>
    <t>기류 온도 7일 최댓값</t>
    <phoneticPr fontId="1" type="noConversion"/>
  </si>
  <si>
    <t>설명</t>
    <phoneticPr fontId="1" type="noConversion"/>
  </si>
  <si>
    <t>누적 쓰기량 14일 평균증가량</t>
    <phoneticPr fontId="1" type="noConversion"/>
  </si>
  <si>
    <t>누적 읽기량 14일 가속도</t>
    <phoneticPr fontId="1" type="noConversion"/>
  </si>
  <si>
    <t>누적 쓰기량 14일 가속도</t>
    <phoneticPr fontId="1" type="noConversion"/>
  </si>
  <si>
    <t>복구 불가 오류 최초 발생 후 경과일</t>
    <phoneticPr fontId="1" type="noConversion"/>
  </si>
  <si>
    <t>총 탐색 작업 1일 변화량</t>
    <phoneticPr fontId="1" type="noConversion"/>
  </si>
  <si>
    <t>총 탐색 작업 14일 가속도</t>
    <phoneticPr fontId="1" type="noConversion"/>
  </si>
  <si>
    <t>총 탐색 작업 횟수</t>
    <phoneticPr fontId="1" type="noConversion"/>
  </si>
  <si>
    <t>누적 데이터 읽기량</t>
    <phoneticPr fontId="1" type="noConversion"/>
  </si>
  <si>
    <t>누적 데이터 쓰기량</t>
    <phoneticPr fontId="1" type="noConversion"/>
  </si>
  <si>
    <t>헤드 정렬 불량 쓰기 횟수</t>
    <phoneticPr fontId="1" type="noConversion"/>
  </si>
  <si>
    <t>현재 보류 중인 섹터 존재 여부</t>
    <phoneticPr fontId="1" type="noConversion"/>
  </si>
  <si>
    <t>현재 보류 중인 섹터 수</t>
    <phoneticPr fontId="1" type="noConversion"/>
  </si>
  <si>
    <t>보고된 교정 불가능한 오류 횟수</t>
    <phoneticPr fontId="1" type="noConversion"/>
  </si>
  <si>
    <t>수정 불가능한 섹터 횟수</t>
    <phoneticPr fontId="1" type="noConversion"/>
  </si>
  <si>
    <t>수정 불가능한 섹터 횟수 28일 최댓값</t>
    <phoneticPr fontId="1" type="noConversion"/>
  </si>
  <si>
    <t>수정 불가능한 섹터 존재 여부</t>
    <phoneticPr fontId="1" type="noConversion"/>
  </si>
  <si>
    <t>수정 불가능한 섹터 횟수 1일 변화량</t>
    <phoneticPr fontId="1" type="noConversion"/>
  </si>
  <si>
    <t>누적 쓰기량 1일 변화량</t>
    <phoneticPr fontId="1" type="noConversion"/>
  </si>
  <si>
    <t>누적 읽기량 1일 변화량</t>
    <phoneticPr fontId="1" type="noConversion"/>
  </si>
  <si>
    <t>탐색 오류</t>
    <phoneticPr fontId="1" type="noConversion"/>
  </si>
  <si>
    <t>187, 197, 198과 그 파생변수</t>
    <phoneticPr fontId="1" type="noConversion"/>
  </si>
  <si>
    <t>정상적인 하드디스크는 0이어야 함</t>
    <phoneticPr fontId="1" type="noConversion"/>
  </si>
  <si>
    <t>자체 복구 메커니즘(ECC)의 실패</t>
    <phoneticPr fontId="1" type="noConversion"/>
  </si>
  <si>
    <t>세 변수는 종속적으로 발생함</t>
    <phoneticPr fontId="1" type="noConversion"/>
  </si>
  <si>
    <t>작업량이 튀는 정도</t>
    <phoneticPr fontId="1" type="noConversion"/>
  </si>
  <si>
    <t>교정 불가능한 오류 횟수의 추세</t>
    <phoneticPr fontId="1" type="noConversion"/>
  </si>
  <si>
    <t>SATA 다운시프트 에러 횟수</t>
    <phoneticPr fontId="1" type="noConversion"/>
  </si>
  <si>
    <t>HDD 외적인 불안정성</t>
    <phoneticPr fontId="1" type="noConversion"/>
  </si>
  <si>
    <t>고장 전 치명적 물리 에러 정보</t>
    <phoneticPr fontId="1" type="noConversion"/>
  </si>
  <si>
    <t>재할당된 섹터 수 28일 최댓값</t>
    <phoneticPr fontId="1" type="noConversion"/>
  </si>
  <si>
    <t>재할당된 섹터 수 손상 여부</t>
    <phoneticPr fontId="1" type="noConversion"/>
  </si>
  <si>
    <t>재할당된 섹터 최초 발생 후 경과일</t>
    <phoneticPr fontId="1" type="noConversion"/>
  </si>
  <si>
    <t>재할당된 섹터 수 1일 변화량</t>
    <phoneticPr fontId="1" type="noConversion"/>
  </si>
  <si>
    <t>재할당된 섹터 누적 발생 플래그</t>
    <phoneticPr fontId="1" type="noConversion"/>
  </si>
  <si>
    <t>14일 최고점 대비 당일 재할당된 섹터 수 비율</t>
    <phoneticPr fontId="1" type="noConversion"/>
  </si>
  <si>
    <t>재할당된 섹터 추적</t>
    <phoneticPr fontId="1" type="noConversion"/>
  </si>
  <si>
    <t xml:space="preserve">즉시 고장은 아니지만 </t>
    <phoneticPr fontId="1" type="noConversion"/>
  </si>
  <si>
    <t>고장에 가까워지는 중</t>
    <phoneticPr fontId="1" type="noConversion"/>
  </si>
  <si>
    <t>오류 카운트와</t>
    <phoneticPr fontId="1" type="noConversion"/>
  </si>
  <si>
    <t>사용량과 작업량 기반 노후도?</t>
    <phoneticPr fontId="1" type="noConversion"/>
  </si>
  <si>
    <t>작업 부하, 온도 부하</t>
    <phoneticPr fontId="1" type="noConversion"/>
  </si>
  <si>
    <t xml:space="preserve">smart_9_raw </t>
  </si>
  <si>
    <t xml:space="preserve">total_seeks_28d_asfd </t>
  </si>
  <si>
    <t>backward_test의 고점</t>
    <phoneticPr fontId="1" type="noConversion"/>
  </si>
  <si>
    <t>s194_14d_std</t>
    <phoneticPr fontId="1" type="noConversion"/>
  </si>
  <si>
    <t>backward_test 고점 변수셋</t>
    <phoneticPr fontId="1" type="noConversion"/>
  </si>
  <si>
    <t>CV PR-AUC 고점</t>
    <phoneticPr fontId="1" type="noConversion"/>
  </si>
  <si>
    <t>test PR-AUC 고점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</si>
</sst>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_);[Red]\(0\)"/>
  </numFmts>
  <fonts count="2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1"/>
      <color theme="0"/>
      <name val="맑은 고딕"/>
      <family val="2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Consolas"/>
      <family val="3"/>
    </font>
    <font>
      <sz val="11"/>
      <name val="Consolas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scheme val="minor"/>
    </font>
    <font>
      <sz val="11"/>
      <color theme="1"/>
      <name val="Consolas"/>
      <family val="3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9" fontId="0" fillId="0" borderId="0" xfId="0" applyNumberFormat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5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4" fillId="0" borderId="0" xfId="0" applyFont="1"/>
    <xf numFmtId="0" fontId="16" fillId="0" borderId="0" xfId="0" applyFont="1"/>
    <xf numFmtId="0" fontId="17" fillId="4" borderId="2" xfId="0" applyFont="1" applyFill="1" applyBorder="1" applyAlignment="1">
      <alignment vertical="center"/>
    </xf>
    <xf numFmtId="0" fontId="17" fillId="4" borderId="3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/>
    </xf>
    <xf numFmtId="0" fontId="16" fillId="5" borderId="3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7" fillId="5" borderId="3" xfId="0" applyFont="1" applyFill="1" applyBorder="1" applyAlignment="1">
      <alignment vertical="center" wrapText="1"/>
    </xf>
    <xf numFmtId="0" fontId="4" fillId="5" borderId="3" xfId="0" applyFont="1" applyFill="1" applyBorder="1"/>
    <xf numFmtId="0" fontId="17" fillId="4" borderId="4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7" xfId="0" applyFont="1" applyFill="1" applyBorder="1" applyAlignment="1">
      <alignment vertical="center" wrapText="1"/>
    </xf>
    <xf numFmtId="0" fontId="0" fillId="0" borderId="3" xfId="0" applyBorder="1"/>
    <xf numFmtId="0" fontId="17" fillId="4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16" fillId="4" borderId="0" xfId="0" applyFont="1" applyFill="1" applyAlignment="1">
      <alignment vertical="center" wrapText="1"/>
    </xf>
    <xf numFmtId="176" fontId="8" fillId="0" borderId="0" xfId="0" applyNumberFormat="1" applyFont="1"/>
    <xf numFmtId="0" fontId="0" fillId="0" borderId="5" xfId="0" applyBorder="1"/>
    <xf numFmtId="0" fontId="8" fillId="3" borderId="1" xfId="0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176" fontId="8" fillId="3" borderId="1" xfId="0" applyNumberFormat="1" applyFont="1" applyFill="1" applyBorder="1"/>
    <xf numFmtId="0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176" fontId="8" fillId="0" borderId="1" xfId="0" applyNumberFormat="1" applyFont="1" applyBorder="1"/>
    <xf numFmtId="0" fontId="10" fillId="0" borderId="1" xfId="0" applyFont="1" applyBorder="1"/>
    <xf numFmtId="49" fontId="8" fillId="0" borderId="1" xfId="0" applyNumberFormat="1" applyFont="1" applyBorder="1"/>
    <xf numFmtId="0" fontId="10" fillId="3" borderId="1" xfId="0" applyFont="1" applyFill="1" applyBorder="1"/>
    <xf numFmtId="49" fontId="8" fillId="3" borderId="1" xfId="0" applyNumberFormat="1" applyFont="1" applyFill="1" applyBorder="1"/>
    <xf numFmtId="0" fontId="8" fillId="3" borderId="1" xfId="0" applyFont="1" applyFill="1" applyBorder="1"/>
    <xf numFmtId="0" fontId="8" fillId="0" borderId="1" xfId="0" applyFont="1" applyBorder="1"/>
    <xf numFmtId="177" fontId="0" fillId="0" borderId="0" xfId="0" applyNumberFormat="1" applyAlignment="1">
      <alignment vertical="center"/>
    </xf>
    <xf numFmtId="177" fontId="8" fillId="0" borderId="0" xfId="0" applyNumberFormat="1" applyFont="1" applyAlignment="1">
      <alignment vertical="center"/>
    </xf>
    <xf numFmtId="177" fontId="8" fillId="0" borderId="0" xfId="0" applyNumberFormat="1" applyFont="1"/>
    <xf numFmtId="177" fontId="0" fillId="0" borderId="0" xfId="0" applyNumberFormat="1"/>
    <xf numFmtId="177" fontId="8" fillId="3" borderId="1" xfId="0" applyNumberFormat="1" applyFont="1" applyFill="1" applyBorder="1" applyAlignment="1">
      <alignment vertical="center"/>
    </xf>
    <xf numFmtId="177" fontId="8" fillId="0" borderId="1" xfId="0" applyNumberFormat="1" applyFont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49" fontId="7" fillId="2" borderId="8" xfId="0" applyNumberFormat="1" applyFont="1" applyFill="1" applyBorder="1" applyAlignment="1">
      <alignment vertical="center"/>
    </xf>
    <xf numFmtId="176" fontId="7" fillId="2" borderId="8" xfId="0" applyNumberFormat="1" applyFont="1" applyFill="1" applyBorder="1"/>
    <xf numFmtId="177" fontId="18" fillId="2" borderId="8" xfId="0" applyNumberFormat="1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176" fontId="8" fillId="3" borderId="9" xfId="0" applyNumberFormat="1" applyFont="1" applyFill="1" applyBorder="1"/>
    <xf numFmtId="49" fontId="8" fillId="0" borderId="9" xfId="0" applyNumberFormat="1" applyFont="1" applyBorder="1"/>
    <xf numFmtId="177" fontId="8" fillId="0" borderId="9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0" fontId="19" fillId="0" borderId="0" xfId="0" applyFont="1"/>
    <xf numFmtId="0" fontId="9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77" fontId="18" fillId="0" borderId="8" xfId="0" applyNumberFormat="1" applyFont="1" applyBorder="1" applyAlignment="1">
      <alignment vertical="center"/>
    </xf>
    <xf numFmtId="176" fontId="7" fillId="0" borderId="8" xfId="0" applyNumberFormat="1" applyFont="1" applyBorder="1" applyAlignment="1">
      <alignment vertical="center"/>
    </xf>
    <xf numFmtId="49" fontId="8" fillId="0" borderId="8" xfId="0" applyNumberFormat="1" applyFont="1" applyBorder="1"/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0" fillId="5" borderId="3" xfId="0" applyFont="1" applyFill="1" applyBorder="1"/>
    <xf numFmtId="0" fontId="0" fillId="5" borderId="5" xfId="0" applyFont="1" applyFill="1" applyBorder="1"/>
    <xf numFmtId="0" fontId="0" fillId="4" borderId="5" xfId="0" applyFont="1" applyFill="1" applyBorder="1"/>
    <xf numFmtId="0" fontId="4" fillId="0" borderId="0" xfId="0" applyFont="1" applyAlignment="1">
      <alignment vertical="center" wrapText="1"/>
    </xf>
    <xf numFmtId="0" fontId="0" fillId="0" borderId="0" xfId="0" applyFill="1"/>
    <xf numFmtId="0" fontId="0" fillId="0" borderId="0" xfId="0" applyFill="1" applyBorder="1"/>
    <xf numFmtId="0" fontId="0" fillId="0" borderId="10" xfId="0" applyFont="1" applyFill="1" applyBorder="1"/>
    <xf numFmtId="0" fontId="0" fillId="0" borderId="0" xfId="0" applyFont="1" applyFill="1" applyBorder="1"/>
    <xf numFmtId="49" fontId="8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/>
    <xf numFmtId="49" fontId="9" fillId="0" borderId="0" xfId="0" applyNumberFormat="1" applyFont="1" applyFill="1" applyBorder="1" applyAlignment="1">
      <alignment vertical="center"/>
    </xf>
    <xf numFmtId="0" fontId="8" fillId="0" borderId="0" xfId="0" applyFont="1" applyFill="1" applyBorder="1"/>
    <xf numFmtId="0" fontId="19" fillId="0" borderId="0" xfId="0" applyFont="1" applyFill="1" applyBorder="1"/>
    <xf numFmtId="0" fontId="0" fillId="0" borderId="0" xfId="0" applyBorder="1"/>
    <xf numFmtId="0" fontId="10" fillId="0" borderId="9" xfId="0" applyFont="1" applyBorder="1"/>
    <xf numFmtId="176" fontId="8" fillId="0" borderId="9" xfId="0" applyNumberFormat="1" applyFont="1" applyBorder="1"/>
    <xf numFmtId="176" fontId="8" fillId="0" borderId="9" xfId="0" applyNumberFormat="1" applyFont="1" applyFill="1" applyBorder="1"/>
    <xf numFmtId="0" fontId="7" fillId="0" borderId="8" xfId="0" applyFont="1" applyFill="1" applyBorder="1"/>
    <xf numFmtId="176" fontId="7" fillId="0" borderId="8" xfId="0" applyNumberFormat="1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177" fontId="7" fillId="0" borderId="8" xfId="0" applyNumberFormat="1" applyFont="1" applyFill="1" applyBorder="1" applyAlignment="1">
      <alignment vertical="center"/>
    </xf>
    <xf numFmtId="49" fontId="8" fillId="0" borderId="9" xfId="0" applyNumberFormat="1" applyFont="1" applyFill="1" applyBorder="1" applyAlignment="1">
      <alignment vertical="center"/>
    </xf>
    <xf numFmtId="176" fontId="8" fillId="0" borderId="0" xfId="0" applyNumberFormat="1" applyFont="1" applyFill="1" applyBorder="1"/>
    <xf numFmtId="0" fontId="8" fillId="0" borderId="9" xfId="0" applyFont="1" applyFill="1" applyBorder="1"/>
    <xf numFmtId="0" fontId="10" fillId="0" borderId="0" xfId="0" applyFont="1" applyFill="1"/>
    <xf numFmtId="0" fontId="0" fillId="5" borderId="11" xfId="0" applyFont="1" applyFill="1" applyBorder="1"/>
    <xf numFmtId="0" fontId="7" fillId="6" borderId="0" xfId="0" applyFont="1" applyFill="1" applyBorder="1"/>
    <xf numFmtId="0" fontId="0" fillId="5" borderId="12" xfId="0" applyFont="1" applyFill="1" applyBorder="1"/>
    <xf numFmtId="0" fontId="0" fillId="4" borderId="11" xfId="0" applyFont="1" applyFill="1" applyBorder="1"/>
    <xf numFmtId="0" fontId="7" fillId="6" borderId="13" xfId="0" applyFont="1" applyFill="1" applyBorder="1"/>
    <xf numFmtId="0" fontId="0" fillId="5" borderId="14" xfId="0" applyFont="1" applyFill="1" applyBorder="1"/>
  </cellXfs>
  <cellStyles count="1">
    <cellStyle name="표준" xfId="0" builtinId="0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6" formatCode="0.0000_ 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7" formatCode="0_);[Red]\(0\)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6" formatCode="0.0000_ 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6" formatCode="0.0000_ 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bottom style="thin">
          <color theme="6" tint="0.39997558519241921"/>
        </bottom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theme="6" tint="0.79998168889431442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</dxf>
    <dxf>
      <numFmt numFmtId="176" formatCode="0.00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7" formatCode="0_);[Red]\(0\)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30" formatCode="@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numFmt numFmtId="176" formatCode="0.0000_ 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</font>
      <numFmt numFmtId="176" formatCode="0.0000_ "/>
    </dxf>
    <dxf>
      <font>
        <strike val="0"/>
        <outline val="0"/>
        <shadow val="0"/>
        <u val="none"/>
        <vertAlign val="baseline"/>
        <sz val="11"/>
        <color auto="1"/>
      </font>
      <numFmt numFmtId="177" formatCode="0_);[Red]\(0\)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  <numFmt numFmtId="176" formatCode="0.0000_ 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1"/>
        <color auto="1"/>
      </font>
      <numFmt numFmtId="176" formatCode="0.0000_ "/>
    </dxf>
    <dxf>
      <font>
        <strike val="0"/>
        <outline val="0"/>
        <shadow val="0"/>
        <u val="none"/>
        <vertAlign val="baseline"/>
        <sz val="11"/>
        <color auto="1"/>
      </font>
      <numFmt numFmtId="177" formatCode="0_);[Red]\(0\)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  <numFmt numFmtId="176" formatCode="0.0000_ 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  <dxf>
      <font>
        <strike val="0"/>
        <outline val="0"/>
        <shadow val="0"/>
        <u val="none"/>
        <vertAlign val="baseline"/>
        <sz val="11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rev_rfe_test!$G$2:$G$169</c:f>
              <c:numCache>
                <c:formatCode>0.0000_ </c:formatCode>
                <c:ptCount val="168"/>
                <c:pt idx="0">
                  <c:v>0</c:v>
                </c:pt>
                <c:pt idx="1">
                  <c:v>3.1999999999999806E-3</c:v>
                </c:pt>
                <c:pt idx="2">
                  <c:v>-3.8000000000000256E-3</c:v>
                </c:pt>
                <c:pt idx="3">
                  <c:v>-2.8000000000000247E-3</c:v>
                </c:pt>
                <c:pt idx="4">
                  <c:v>-6.5000000000000058E-3</c:v>
                </c:pt>
                <c:pt idx="5">
                  <c:v>-4.8000000000000265E-3</c:v>
                </c:pt>
                <c:pt idx="6">
                  <c:v>-3.8000000000000256E-3</c:v>
                </c:pt>
                <c:pt idx="7">
                  <c:v>-3.8000000000000256E-3</c:v>
                </c:pt>
                <c:pt idx="8">
                  <c:v>-6.0000000000000053E-3</c:v>
                </c:pt>
                <c:pt idx="9">
                  <c:v>-9.9000000000000199E-3</c:v>
                </c:pt>
                <c:pt idx="10">
                  <c:v>-1.7600000000000005E-2</c:v>
                </c:pt>
                <c:pt idx="11">
                  <c:v>-7.9300000000000037E-2</c:v>
                </c:pt>
                <c:pt idx="12">
                  <c:v>-7.9200000000000048E-2</c:v>
                </c:pt>
                <c:pt idx="13">
                  <c:v>-7.7000000000000013E-2</c:v>
                </c:pt>
                <c:pt idx="14">
                  <c:v>-8.5200000000000053E-2</c:v>
                </c:pt>
                <c:pt idx="15">
                  <c:v>-8.9900000000000035E-2</c:v>
                </c:pt>
                <c:pt idx="16">
                  <c:v>-8.7300000000000044E-2</c:v>
                </c:pt>
                <c:pt idx="17">
                  <c:v>-8.7900000000000034E-2</c:v>
                </c:pt>
                <c:pt idx="18">
                  <c:v>-8.8600000000000012E-2</c:v>
                </c:pt>
                <c:pt idx="19">
                  <c:v>-0.1154</c:v>
                </c:pt>
                <c:pt idx="20">
                  <c:v>-0.1164</c:v>
                </c:pt>
                <c:pt idx="21">
                  <c:v>-0.11630000000000001</c:v>
                </c:pt>
                <c:pt idx="22">
                  <c:v>-0.11630000000000001</c:v>
                </c:pt>
                <c:pt idx="23">
                  <c:v>-0.11780000000000002</c:v>
                </c:pt>
                <c:pt idx="24">
                  <c:v>-0.13630000000000003</c:v>
                </c:pt>
                <c:pt idx="25">
                  <c:v>-0.16320000000000004</c:v>
                </c:pt>
                <c:pt idx="26">
                  <c:v>-0.16120000000000004</c:v>
                </c:pt>
                <c:pt idx="27">
                  <c:v>-0.19020000000000004</c:v>
                </c:pt>
                <c:pt idx="28">
                  <c:v>-0.19250000000000003</c:v>
                </c:pt>
                <c:pt idx="29">
                  <c:v>-0.18940000000000004</c:v>
                </c:pt>
                <c:pt idx="30">
                  <c:v>-0.18970000000000004</c:v>
                </c:pt>
                <c:pt idx="31">
                  <c:v>-0.18980000000000002</c:v>
                </c:pt>
                <c:pt idx="32">
                  <c:v>-0.19140000000000001</c:v>
                </c:pt>
                <c:pt idx="33">
                  <c:v>-0.18890000000000004</c:v>
                </c:pt>
                <c:pt idx="34">
                  <c:v>-0.19740000000000002</c:v>
                </c:pt>
                <c:pt idx="35">
                  <c:v>-0.19740000000000002</c:v>
                </c:pt>
                <c:pt idx="36">
                  <c:v>-0.19610000000000002</c:v>
                </c:pt>
                <c:pt idx="37">
                  <c:v>-0.19610000000000002</c:v>
                </c:pt>
                <c:pt idx="38">
                  <c:v>-0.22100000000000003</c:v>
                </c:pt>
                <c:pt idx="39">
                  <c:v>-0.23400000000000001</c:v>
                </c:pt>
                <c:pt idx="40">
                  <c:v>-0.23300000000000004</c:v>
                </c:pt>
                <c:pt idx="41">
                  <c:v>-0.23270000000000002</c:v>
                </c:pt>
                <c:pt idx="42">
                  <c:v>-0.23110000000000003</c:v>
                </c:pt>
                <c:pt idx="43">
                  <c:v>-0.23300000000000004</c:v>
                </c:pt>
                <c:pt idx="44">
                  <c:v>-0.23220000000000002</c:v>
                </c:pt>
                <c:pt idx="45">
                  <c:v>-0.23240000000000002</c:v>
                </c:pt>
                <c:pt idx="46">
                  <c:v>-0.23320000000000002</c:v>
                </c:pt>
                <c:pt idx="47">
                  <c:v>-0.23170000000000002</c:v>
                </c:pt>
                <c:pt idx="48">
                  <c:v>-0.23280000000000003</c:v>
                </c:pt>
                <c:pt idx="49">
                  <c:v>-0.23500000000000001</c:v>
                </c:pt>
                <c:pt idx="50">
                  <c:v>-0.23650000000000002</c:v>
                </c:pt>
                <c:pt idx="51">
                  <c:v>-0.23510000000000003</c:v>
                </c:pt>
                <c:pt idx="52">
                  <c:v>-0.23440000000000003</c:v>
                </c:pt>
                <c:pt idx="53">
                  <c:v>-0.23550000000000001</c:v>
                </c:pt>
                <c:pt idx="54">
                  <c:v>-0.23510000000000003</c:v>
                </c:pt>
                <c:pt idx="55">
                  <c:v>-0.23510000000000003</c:v>
                </c:pt>
                <c:pt idx="56">
                  <c:v>-0.23450000000000001</c:v>
                </c:pt>
                <c:pt idx="57">
                  <c:v>-0.23450000000000001</c:v>
                </c:pt>
                <c:pt idx="58">
                  <c:v>-0.26630000000000004</c:v>
                </c:pt>
                <c:pt idx="59">
                  <c:v>-0.26630000000000004</c:v>
                </c:pt>
                <c:pt idx="60">
                  <c:v>-0.26780000000000004</c:v>
                </c:pt>
                <c:pt idx="61">
                  <c:v>-0.26420000000000005</c:v>
                </c:pt>
                <c:pt idx="62">
                  <c:v>-0.26540000000000002</c:v>
                </c:pt>
                <c:pt idx="63">
                  <c:v>-0.26430000000000003</c:v>
                </c:pt>
                <c:pt idx="64">
                  <c:v>-0.26600000000000001</c:v>
                </c:pt>
                <c:pt idx="65">
                  <c:v>-0.26580000000000004</c:v>
                </c:pt>
                <c:pt idx="66">
                  <c:v>-0.2661</c:v>
                </c:pt>
                <c:pt idx="67">
                  <c:v>-0.26740000000000003</c:v>
                </c:pt>
                <c:pt idx="68">
                  <c:v>-0.26750000000000002</c:v>
                </c:pt>
                <c:pt idx="69">
                  <c:v>-0.26650000000000001</c:v>
                </c:pt>
                <c:pt idx="70">
                  <c:v>-0.26670000000000005</c:v>
                </c:pt>
                <c:pt idx="71">
                  <c:v>-0.26480000000000004</c:v>
                </c:pt>
                <c:pt idx="72">
                  <c:v>-0.26940000000000003</c:v>
                </c:pt>
                <c:pt idx="73">
                  <c:v>-0.26990000000000003</c:v>
                </c:pt>
                <c:pt idx="74">
                  <c:v>-0.27030000000000004</c:v>
                </c:pt>
                <c:pt idx="75">
                  <c:v>-0.26940000000000003</c:v>
                </c:pt>
                <c:pt idx="76">
                  <c:v>-0.27010000000000001</c:v>
                </c:pt>
                <c:pt idx="77">
                  <c:v>-0.2702</c:v>
                </c:pt>
                <c:pt idx="78">
                  <c:v>-0.26950000000000002</c:v>
                </c:pt>
                <c:pt idx="79">
                  <c:v>-0.26960000000000006</c:v>
                </c:pt>
                <c:pt idx="80">
                  <c:v>-0.2702</c:v>
                </c:pt>
                <c:pt idx="81">
                  <c:v>-0.26880000000000004</c:v>
                </c:pt>
                <c:pt idx="82">
                  <c:v>-0.26860000000000006</c:v>
                </c:pt>
                <c:pt idx="83">
                  <c:v>-0.2671</c:v>
                </c:pt>
                <c:pt idx="84">
                  <c:v>-0.26830000000000004</c:v>
                </c:pt>
                <c:pt idx="85">
                  <c:v>-0.26890000000000003</c:v>
                </c:pt>
                <c:pt idx="86">
                  <c:v>-0.26900000000000002</c:v>
                </c:pt>
                <c:pt idx="87">
                  <c:v>-0.26900000000000002</c:v>
                </c:pt>
                <c:pt idx="88">
                  <c:v>-0.26790000000000003</c:v>
                </c:pt>
                <c:pt idx="89">
                  <c:v>-0.26880000000000004</c:v>
                </c:pt>
                <c:pt idx="90">
                  <c:v>-0.26860000000000006</c:v>
                </c:pt>
                <c:pt idx="91">
                  <c:v>-0.26910000000000001</c:v>
                </c:pt>
                <c:pt idx="92">
                  <c:v>-0.26819999999999999</c:v>
                </c:pt>
                <c:pt idx="93">
                  <c:v>-0.27840000000000004</c:v>
                </c:pt>
                <c:pt idx="94">
                  <c:v>-0.27850000000000003</c:v>
                </c:pt>
                <c:pt idx="95">
                  <c:v>-0.29480000000000001</c:v>
                </c:pt>
                <c:pt idx="96">
                  <c:v>-0.29450000000000004</c:v>
                </c:pt>
                <c:pt idx="97">
                  <c:v>-0.29400000000000004</c:v>
                </c:pt>
                <c:pt idx="98">
                  <c:v>-0.31120000000000003</c:v>
                </c:pt>
                <c:pt idx="99">
                  <c:v>-0.30990000000000001</c:v>
                </c:pt>
                <c:pt idx="100">
                  <c:v>-0.30990000000000001</c:v>
                </c:pt>
                <c:pt idx="101">
                  <c:v>-0.31030000000000002</c:v>
                </c:pt>
                <c:pt idx="102">
                  <c:v>-0.31060000000000004</c:v>
                </c:pt>
                <c:pt idx="103">
                  <c:v>-0.31080000000000002</c:v>
                </c:pt>
                <c:pt idx="104">
                  <c:v>-0.31070000000000003</c:v>
                </c:pt>
                <c:pt idx="105">
                  <c:v>-0.31040000000000001</c:v>
                </c:pt>
                <c:pt idx="106">
                  <c:v>-0.31070000000000003</c:v>
                </c:pt>
                <c:pt idx="107">
                  <c:v>-0.31140000000000001</c:v>
                </c:pt>
                <c:pt idx="108">
                  <c:v>-0.31160000000000004</c:v>
                </c:pt>
                <c:pt idx="109">
                  <c:v>-0.31200000000000006</c:v>
                </c:pt>
                <c:pt idx="110">
                  <c:v>-0.31140000000000001</c:v>
                </c:pt>
                <c:pt idx="111">
                  <c:v>-0.31090000000000001</c:v>
                </c:pt>
                <c:pt idx="112">
                  <c:v>-0.31040000000000001</c:v>
                </c:pt>
                <c:pt idx="113">
                  <c:v>-0.31170000000000003</c:v>
                </c:pt>
                <c:pt idx="114">
                  <c:v>-0.3155</c:v>
                </c:pt>
                <c:pt idx="115">
                  <c:v>-0.31580000000000003</c:v>
                </c:pt>
                <c:pt idx="116">
                  <c:v>-0.31530000000000002</c:v>
                </c:pt>
                <c:pt idx="117">
                  <c:v>-0.31810000000000005</c:v>
                </c:pt>
                <c:pt idx="118">
                  <c:v>-0.31890000000000002</c:v>
                </c:pt>
                <c:pt idx="119">
                  <c:v>-0.31900000000000001</c:v>
                </c:pt>
                <c:pt idx="120">
                  <c:v>-0.31890000000000002</c:v>
                </c:pt>
                <c:pt idx="121">
                  <c:v>-0.31880000000000003</c:v>
                </c:pt>
                <c:pt idx="122">
                  <c:v>-0.31810000000000005</c:v>
                </c:pt>
                <c:pt idx="123">
                  <c:v>-0.31890000000000002</c:v>
                </c:pt>
                <c:pt idx="124">
                  <c:v>-0.31870000000000004</c:v>
                </c:pt>
                <c:pt idx="125">
                  <c:v>-0.31910000000000005</c:v>
                </c:pt>
                <c:pt idx="126">
                  <c:v>-0.31890000000000002</c:v>
                </c:pt>
                <c:pt idx="127">
                  <c:v>-0.31890000000000002</c:v>
                </c:pt>
                <c:pt idx="128">
                  <c:v>-0.31930000000000003</c:v>
                </c:pt>
                <c:pt idx="129">
                  <c:v>-0.31950000000000001</c:v>
                </c:pt>
                <c:pt idx="130">
                  <c:v>-0.31990000000000002</c:v>
                </c:pt>
                <c:pt idx="131">
                  <c:v>-0.31980000000000003</c:v>
                </c:pt>
                <c:pt idx="132">
                  <c:v>-0.32130000000000003</c:v>
                </c:pt>
                <c:pt idx="133">
                  <c:v>-0.32270000000000004</c:v>
                </c:pt>
                <c:pt idx="134">
                  <c:v>-0.32310000000000005</c:v>
                </c:pt>
                <c:pt idx="135">
                  <c:v>-0.32330000000000003</c:v>
                </c:pt>
                <c:pt idx="136">
                  <c:v>-0.32350000000000001</c:v>
                </c:pt>
                <c:pt idx="137">
                  <c:v>-0.32440000000000002</c:v>
                </c:pt>
                <c:pt idx="138">
                  <c:v>-0.33100000000000002</c:v>
                </c:pt>
                <c:pt idx="139">
                  <c:v>-0.33090000000000003</c:v>
                </c:pt>
                <c:pt idx="140">
                  <c:v>-0.33090000000000003</c:v>
                </c:pt>
                <c:pt idx="141">
                  <c:v>-0.32980000000000004</c:v>
                </c:pt>
                <c:pt idx="142">
                  <c:v>-0.33030000000000004</c:v>
                </c:pt>
                <c:pt idx="143">
                  <c:v>-0.33070000000000005</c:v>
                </c:pt>
                <c:pt idx="144">
                  <c:v>-0.33090000000000003</c:v>
                </c:pt>
                <c:pt idx="145">
                  <c:v>-0.33540000000000003</c:v>
                </c:pt>
                <c:pt idx="146">
                  <c:v>-0.33940000000000003</c:v>
                </c:pt>
                <c:pt idx="147">
                  <c:v>-0.33900000000000002</c:v>
                </c:pt>
                <c:pt idx="148">
                  <c:v>-0.33900000000000002</c:v>
                </c:pt>
                <c:pt idx="149">
                  <c:v>-0.33930000000000005</c:v>
                </c:pt>
                <c:pt idx="150">
                  <c:v>-0.34440000000000004</c:v>
                </c:pt>
                <c:pt idx="151">
                  <c:v>-0.34450000000000003</c:v>
                </c:pt>
                <c:pt idx="152">
                  <c:v>-0.34490000000000004</c:v>
                </c:pt>
                <c:pt idx="153">
                  <c:v>-0.34490000000000004</c:v>
                </c:pt>
                <c:pt idx="154">
                  <c:v>-0.34480000000000005</c:v>
                </c:pt>
                <c:pt idx="155">
                  <c:v>-0.34470000000000001</c:v>
                </c:pt>
                <c:pt idx="156">
                  <c:v>-0.34520000000000001</c:v>
                </c:pt>
                <c:pt idx="157">
                  <c:v>-0.34530000000000005</c:v>
                </c:pt>
                <c:pt idx="158">
                  <c:v>-0.34540000000000004</c:v>
                </c:pt>
                <c:pt idx="159">
                  <c:v>-0.35020000000000001</c:v>
                </c:pt>
                <c:pt idx="160">
                  <c:v>-0.3508</c:v>
                </c:pt>
                <c:pt idx="161">
                  <c:v>-0.35540000000000005</c:v>
                </c:pt>
                <c:pt idx="162">
                  <c:v>-0.35790000000000005</c:v>
                </c:pt>
                <c:pt idx="163">
                  <c:v>-0.35820000000000002</c:v>
                </c:pt>
                <c:pt idx="164">
                  <c:v>-0.35820000000000002</c:v>
                </c:pt>
                <c:pt idx="165">
                  <c:v>-0.35830000000000001</c:v>
                </c:pt>
                <c:pt idx="166">
                  <c:v>-0.35830000000000001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2-4D56-9587-837500BAE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500271"/>
        <c:axId val="2137504111"/>
      </c:lineChart>
      <c:catAx>
        <c:axId val="213750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504111"/>
        <c:crosses val="autoZero"/>
        <c:auto val="1"/>
        <c:lblAlgn val="ctr"/>
        <c:lblOffset val="100"/>
        <c:noMultiLvlLbl val="0"/>
      </c:catAx>
      <c:valAx>
        <c:axId val="21375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750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rev_rfe_test!$F$2:$F$168</c:f>
              <c:numCache>
                <c:formatCode>General</c:formatCode>
                <c:ptCount val="167"/>
                <c:pt idx="0">
                  <c:v>0.36820000000000003</c:v>
                </c:pt>
                <c:pt idx="1">
                  <c:v>0.37140000000000001</c:v>
                </c:pt>
                <c:pt idx="2">
                  <c:v>0.3644</c:v>
                </c:pt>
                <c:pt idx="3">
                  <c:v>0.3654</c:v>
                </c:pt>
                <c:pt idx="4">
                  <c:v>0.36170000000000002</c:v>
                </c:pt>
                <c:pt idx="5">
                  <c:v>0.3634</c:v>
                </c:pt>
                <c:pt idx="6">
                  <c:v>0.3644</c:v>
                </c:pt>
                <c:pt idx="7">
                  <c:v>0.3644</c:v>
                </c:pt>
                <c:pt idx="8">
                  <c:v>0.36220000000000002</c:v>
                </c:pt>
                <c:pt idx="9">
                  <c:v>0.35830000000000001</c:v>
                </c:pt>
                <c:pt idx="10">
                  <c:v>0.35060000000000002</c:v>
                </c:pt>
                <c:pt idx="11">
                  <c:v>0.28889999999999999</c:v>
                </c:pt>
                <c:pt idx="12">
                  <c:v>0.28899999999999998</c:v>
                </c:pt>
                <c:pt idx="13">
                  <c:v>0.29120000000000001</c:v>
                </c:pt>
                <c:pt idx="14">
                  <c:v>0.28299999999999997</c:v>
                </c:pt>
                <c:pt idx="15">
                  <c:v>0.27829999999999999</c:v>
                </c:pt>
                <c:pt idx="16">
                  <c:v>0.28089999999999998</c:v>
                </c:pt>
                <c:pt idx="17">
                  <c:v>0.28029999999999999</c:v>
                </c:pt>
                <c:pt idx="18">
                  <c:v>0.27960000000000002</c:v>
                </c:pt>
                <c:pt idx="19">
                  <c:v>0.25280000000000002</c:v>
                </c:pt>
                <c:pt idx="20">
                  <c:v>0.25180000000000002</c:v>
                </c:pt>
                <c:pt idx="21">
                  <c:v>0.25190000000000001</c:v>
                </c:pt>
                <c:pt idx="22">
                  <c:v>0.25190000000000001</c:v>
                </c:pt>
                <c:pt idx="23">
                  <c:v>0.25040000000000001</c:v>
                </c:pt>
                <c:pt idx="24">
                  <c:v>0.2319</c:v>
                </c:pt>
                <c:pt idx="25">
                  <c:v>0.20499999999999999</c:v>
                </c:pt>
                <c:pt idx="26">
                  <c:v>0.20699999999999999</c:v>
                </c:pt>
                <c:pt idx="27">
                  <c:v>0.17799999999999999</c:v>
                </c:pt>
                <c:pt idx="28">
                  <c:v>0.1757</c:v>
                </c:pt>
                <c:pt idx="29">
                  <c:v>0.17879999999999999</c:v>
                </c:pt>
                <c:pt idx="30">
                  <c:v>0.17849999999999999</c:v>
                </c:pt>
                <c:pt idx="31">
                  <c:v>0.1784</c:v>
                </c:pt>
                <c:pt idx="32">
                  <c:v>0.17680000000000001</c:v>
                </c:pt>
                <c:pt idx="33">
                  <c:v>0.17929999999999999</c:v>
                </c:pt>
                <c:pt idx="34">
                  <c:v>0.17080000000000001</c:v>
                </c:pt>
                <c:pt idx="35">
                  <c:v>0.17080000000000001</c:v>
                </c:pt>
                <c:pt idx="36">
                  <c:v>0.1721</c:v>
                </c:pt>
                <c:pt idx="37">
                  <c:v>0.1721</c:v>
                </c:pt>
                <c:pt idx="38">
                  <c:v>0.1472</c:v>
                </c:pt>
                <c:pt idx="39">
                  <c:v>0.13420000000000001</c:v>
                </c:pt>
                <c:pt idx="40">
                  <c:v>0.13519999999999999</c:v>
                </c:pt>
                <c:pt idx="41">
                  <c:v>0.13550000000000001</c:v>
                </c:pt>
                <c:pt idx="42">
                  <c:v>0.1371</c:v>
                </c:pt>
                <c:pt idx="43">
                  <c:v>0.13519999999999999</c:v>
                </c:pt>
                <c:pt idx="44">
                  <c:v>0.13600000000000001</c:v>
                </c:pt>
                <c:pt idx="45">
                  <c:v>0.1358</c:v>
                </c:pt>
                <c:pt idx="46">
                  <c:v>0.13500000000000001</c:v>
                </c:pt>
                <c:pt idx="47">
                  <c:v>0.13650000000000001</c:v>
                </c:pt>
                <c:pt idx="48">
                  <c:v>0.13539999999999999</c:v>
                </c:pt>
                <c:pt idx="49">
                  <c:v>0.13320000000000001</c:v>
                </c:pt>
                <c:pt idx="50">
                  <c:v>0.13170000000000001</c:v>
                </c:pt>
                <c:pt idx="51">
                  <c:v>0.1331</c:v>
                </c:pt>
                <c:pt idx="52">
                  <c:v>0.1338</c:v>
                </c:pt>
                <c:pt idx="53">
                  <c:v>0.13270000000000001</c:v>
                </c:pt>
                <c:pt idx="54">
                  <c:v>0.1331</c:v>
                </c:pt>
                <c:pt idx="55">
                  <c:v>0.1331</c:v>
                </c:pt>
                <c:pt idx="56">
                  <c:v>0.13370000000000001</c:v>
                </c:pt>
                <c:pt idx="57">
                  <c:v>0.13370000000000001</c:v>
                </c:pt>
                <c:pt idx="58">
                  <c:v>0.1019</c:v>
                </c:pt>
                <c:pt idx="59">
                  <c:v>0.1019</c:v>
                </c:pt>
                <c:pt idx="60">
                  <c:v>0.1004</c:v>
                </c:pt>
                <c:pt idx="61">
                  <c:v>0.104</c:v>
                </c:pt>
                <c:pt idx="62">
                  <c:v>0.1028</c:v>
                </c:pt>
                <c:pt idx="63">
                  <c:v>0.10390000000000001</c:v>
                </c:pt>
                <c:pt idx="64">
                  <c:v>0.1022</c:v>
                </c:pt>
                <c:pt idx="65">
                  <c:v>0.1024</c:v>
                </c:pt>
                <c:pt idx="66">
                  <c:v>0.1021</c:v>
                </c:pt>
                <c:pt idx="67">
                  <c:v>0.1008</c:v>
                </c:pt>
                <c:pt idx="68">
                  <c:v>0.1007</c:v>
                </c:pt>
                <c:pt idx="69">
                  <c:v>0.1017</c:v>
                </c:pt>
                <c:pt idx="70">
                  <c:v>0.10150000000000001</c:v>
                </c:pt>
                <c:pt idx="71">
                  <c:v>0.10340000000000001</c:v>
                </c:pt>
                <c:pt idx="72">
                  <c:v>9.8799999999999999E-2</c:v>
                </c:pt>
                <c:pt idx="73">
                  <c:v>9.8299999999999998E-2</c:v>
                </c:pt>
                <c:pt idx="74">
                  <c:v>9.7900000000000001E-2</c:v>
                </c:pt>
                <c:pt idx="75">
                  <c:v>9.8799999999999999E-2</c:v>
                </c:pt>
                <c:pt idx="76">
                  <c:v>9.8100000000000007E-2</c:v>
                </c:pt>
                <c:pt idx="77">
                  <c:v>9.8000000000000004E-2</c:v>
                </c:pt>
                <c:pt idx="78">
                  <c:v>9.8699999999999996E-2</c:v>
                </c:pt>
                <c:pt idx="79">
                  <c:v>9.8599999999999993E-2</c:v>
                </c:pt>
                <c:pt idx="80">
                  <c:v>9.8000000000000004E-2</c:v>
                </c:pt>
                <c:pt idx="81">
                  <c:v>9.9400000000000002E-2</c:v>
                </c:pt>
                <c:pt idx="82">
                  <c:v>9.9599999999999994E-2</c:v>
                </c:pt>
                <c:pt idx="83">
                  <c:v>0.1011</c:v>
                </c:pt>
                <c:pt idx="84">
                  <c:v>9.9900000000000003E-2</c:v>
                </c:pt>
                <c:pt idx="85">
                  <c:v>9.9299999999999999E-2</c:v>
                </c:pt>
                <c:pt idx="86">
                  <c:v>9.9199999999999997E-2</c:v>
                </c:pt>
                <c:pt idx="87">
                  <c:v>9.9199999999999997E-2</c:v>
                </c:pt>
                <c:pt idx="88">
                  <c:v>0.1003</c:v>
                </c:pt>
                <c:pt idx="89">
                  <c:v>9.9400000000000002E-2</c:v>
                </c:pt>
                <c:pt idx="90">
                  <c:v>9.9599999999999994E-2</c:v>
                </c:pt>
                <c:pt idx="91">
                  <c:v>9.9099999999999994E-2</c:v>
                </c:pt>
                <c:pt idx="92">
                  <c:v>0.1</c:v>
                </c:pt>
                <c:pt idx="93">
                  <c:v>8.9800000000000005E-2</c:v>
                </c:pt>
                <c:pt idx="94">
                  <c:v>8.9700000000000002E-2</c:v>
                </c:pt>
                <c:pt idx="95">
                  <c:v>7.3400000000000007E-2</c:v>
                </c:pt>
                <c:pt idx="96">
                  <c:v>7.3700000000000002E-2</c:v>
                </c:pt>
                <c:pt idx="97">
                  <c:v>7.4200000000000002E-2</c:v>
                </c:pt>
                <c:pt idx="98">
                  <c:v>5.7000000000000002E-2</c:v>
                </c:pt>
                <c:pt idx="99">
                  <c:v>5.8299999999999998E-2</c:v>
                </c:pt>
                <c:pt idx="100">
                  <c:v>5.8299999999999998E-2</c:v>
                </c:pt>
                <c:pt idx="101">
                  <c:v>5.79E-2</c:v>
                </c:pt>
                <c:pt idx="102">
                  <c:v>5.7599999999999998E-2</c:v>
                </c:pt>
                <c:pt idx="103">
                  <c:v>5.74E-2</c:v>
                </c:pt>
                <c:pt idx="104">
                  <c:v>5.7500000000000002E-2</c:v>
                </c:pt>
                <c:pt idx="105">
                  <c:v>5.7799999999999997E-2</c:v>
                </c:pt>
                <c:pt idx="106">
                  <c:v>5.7500000000000002E-2</c:v>
                </c:pt>
                <c:pt idx="107">
                  <c:v>5.6800000000000003E-2</c:v>
                </c:pt>
                <c:pt idx="108">
                  <c:v>5.6599999999999998E-2</c:v>
                </c:pt>
                <c:pt idx="109">
                  <c:v>5.62E-2</c:v>
                </c:pt>
                <c:pt idx="110">
                  <c:v>5.6800000000000003E-2</c:v>
                </c:pt>
                <c:pt idx="111">
                  <c:v>5.7299999999999997E-2</c:v>
                </c:pt>
                <c:pt idx="112">
                  <c:v>5.7799999999999997E-2</c:v>
                </c:pt>
                <c:pt idx="113">
                  <c:v>5.6500000000000002E-2</c:v>
                </c:pt>
                <c:pt idx="114">
                  <c:v>5.2699999999999997E-2</c:v>
                </c:pt>
                <c:pt idx="115">
                  <c:v>5.2400000000000002E-2</c:v>
                </c:pt>
                <c:pt idx="116">
                  <c:v>5.2900000000000003E-2</c:v>
                </c:pt>
                <c:pt idx="117">
                  <c:v>5.0099999999999999E-2</c:v>
                </c:pt>
                <c:pt idx="118">
                  <c:v>4.9299999999999997E-2</c:v>
                </c:pt>
                <c:pt idx="119">
                  <c:v>4.9200000000000001E-2</c:v>
                </c:pt>
                <c:pt idx="120">
                  <c:v>4.9299999999999997E-2</c:v>
                </c:pt>
                <c:pt idx="121">
                  <c:v>4.9399999999999999E-2</c:v>
                </c:pt>
                <c:pt idx="122">
                  <c:v>5.0099999999999999E-2</c:v>
                </c:pt>
                <c:pt idx="123">
                  <c:v>4.9299999999999997E-2</c:v>
                </c:pt>
                <c:pt idx="124">
                  <c:v>4.9500000000000002E-2</c:v>
                </c:pt>
                <c:pt idx="125">
                  <c:v>4.9099999999999998E-2</c:v>
                </c:pt>
                <c:pt idx="126">
                  <c:v>4.9299999999999997E-2</c:v>
                </c:pt>
                <c:pt idx="127">
                  <c:v>4.9299999999999997E-2</c:v>
                </c:pt>
                <c:pt idx="128">
                  <c:v>4.8899999999999999E-2</c:v>
                </c:pt>
                <c:pt idx="129">
                  <c:v>4.87E-2</c:v>
                </c:pt>
                <c:pt idx="130">
                  <c:v>4.8300000000000003E-2</c:v>
                </c:pt>
                <c:pt idx="131">
                  <c:v>4.8399999999999999E-2</c:v>
                </c:pt>
                <c:pt idx="132">
                  <c:v>4.6899999999999997E-2</c:v>
                </c:pt>
                <c:pt idx="133">
                  <c:v>4.5499999999999999E-2</c:v>
                </c:pt>
                <c:pt idx="134">
                  <c:v>4.5100000000000001E-2</c:v>
                </c:pt>
                <c:pt idx="135">
                  <c:v>4.4900000000000002E-2</c:v>
                </c:pt>
                <c:pt idx="136">
                  <c:v>4.4699999999999997E-2</c:v>
                </c:pt>
                <c:pt idx="137">
                  <c:v>4.3799999999999999E-2</c:v>
                </c:pt>
                <c:pt idx="138">
                  <c:v>3.7199999999999997E-2</c:v>
                </c:pt>
                <c:pt idx="139">
                  <c:v>3.73E-2</c:v>
                </c:pt>
                <c:pt idx="140">
                  <c:v>3.73E-2</c:v>
                </c:pt>
                <c:pt idx="141">
                  <c:v>3.8399999999999997E-2</c:v>
                </c:pt>
                <c:pt idx="142">
                  <c:v>3.7900000000000003E-2</c:v>
                </c:pt>
                <c:pt idx="143">
                  <c:v>3.7499999999999999E-2</c:v>
                </c:pt>
                <c:pt idx="144">
                  <c:v>3.73E-2</c:v>
                </c:pt>
                <c:pt idx="145">
                  <c:v>3.2800000000000003E-2</c:v>
                </c:pt>
                <c:pt idx="146">
                  <c:v>2.8799999999999999E-2</c:v>
                </c:pt>
                <c:pt idx="147">
                  <c:v>2.92E-2</c:v>
                </c:pt>
                <c:pt idx="148">
                  <c:v>2.92E-2</c:v>
                </c:pt>
                <c:pt idx="149">
                  <c:v>2.8899999999999999E-2</c:v>
                </c:pt>
                <c:pt idx="150">
                  <c:v>2.3800000000000002E-2</c:v>
                </c:pt>
                <c:pt idx="151">
                  <c:v>2.3699999999999999E-2</c:v>
                </c:pt>
                <c:pt idx="152">
                  <c:v>2.3300000000000001E-2</c:v>
                </c:pt>
                <c:pt idx="153">
                  <c:v>2.3300000000000001E-2</c:v>
                </c:pt>
                <c:pt idx="154">
                  <c:v>2.3400000000000001E-2</c:v>
                </c:pt>
                <c:pt idx="155">
                  <c:v>2.35E-2</c:v>
                </c:pt>
                <c:pt idx="156">
                  <c:v>2.3E-2</c:v>
                </c:pt>
                <c:pt idx="157">
                  <c:v>2.29E-2</c:v>
                </c:pt>
                <c:pt idx="158">
                  <c:v>2.2800000000000001E-2</c:v>
                </c:pt>
                <c:pt idx="159">
                  <c:v>1.7999999999999999E-2</c:v>
                </c:pt>
                <c:pt idx="160">
                  <c:v>1.7399999999999999E-2</c:v>
                </c:pt>
                <c:pt idx="161">
                  <c:v>1.2800000000000001E-2</c:v>
                </c:pt>
                <c:pt idx="162">
                  <c:v>1.03E-2</c:v>
                </c:pt>
                <c:pt idx="163">
                  <c:v>0.01</c:v>
                </c:pt>
                <c:pt idx="164">
                  <c:v>0.01</c:v>
                </c:pt>
                <c:pt idx="165">
                  <c:v>9.9000000000000008E-3</c:v>
                </c:pt>
                <c:pt idx="166">
                  <c:v>9.9000000000000008E-3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7-41FC-8B8B-CF17A35C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71584"/>
        <c:axId val="38972544"/>
      </c:lineChart>
      <c:catAx>
        <c:axId val="389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972544"/>
        <c:crosses val="autoZero"/>
        <c:auto val="1"/>
        <c:lblAlgn val="ctr"/>
        <c:lblOffset val="100"/>
        <c:noMultiLvlLbl val="0"/>
      </c:catAx>
      <c:valAx>
        <c:axId val="389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97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backward_test!$G$2:$G$168</c:f>
              <c:numCache>
                <c:formatCode>0.0000_ </c:formatCode>
                <c:ptCount val="167"/>
                <c:pt idx="0">
                  <c:v>0</c:v>
                </c:pt>
                <c:pt idx="1">
                  <c:v>2.0000000000003348E-4</c:v>
                </c:pt>
                <c:pt idx="2">
                  <c:v>1.000000000000445E-4</c:v>
                </c:pt>
                <c:pt idx="3">
                  <c:v>2.0000000000003348E-4</c:v>
                </c:pt>
                <c:pt idx="4">
                  <c:v>1.000000000000445E-4</c:v>
                </c:pt>
                <c:pt idx="5">
                  <c:v>1.000000000000445E-4</c:v>
                </c:pt>
                <c:pt idx="6">
                  <c:v>2.0000000000003348E-4</c:v>
                </c:pt>
                <c:pt idx="7">
                  <c:v>1.000000000000445E-4</c:v>
                </c:pt>
                <c:pt idx="8">
                  <c:v>2.0000000000003348E-4</c:v>
                </c:pt>
                <c:pt idx="9">
                  <c:v>1.000000000000445E-4</c:v>
                </c:pt>
                <c:pt idx="10">
                  <c:v>2.0000000000003348E-4</c:v>
                </c:pt>
                <c:pt idx="11">
                  <c:v>2.0000000000003348E-4</c:v>
                </c:pt>
                <c:pt idx="12">
                  <c:v>-8.9999999999995639E-4</c:v>
                </c:pt>
                <c:pt idx="13">
                  <c:v>2.0000000000003348E-4</c:v>
                </c:pt>
                <c:pt idx="14">
                  <c:v>2.0000000000003348E-4</c:v>
                </c:pt>
                <c:pt idx="15">
                  <c:v>-1.0999999999999899E-3</c:v>
                </c:pt>
                <c:pt idx="16">
                  <c:v>-1.0000000000000009E-3</c:v>
                </c:pt>
                <c:pt idx="17">
                  <c:v>-1.0000000000000009E-3</c:v>
                </c:pt>
                <c:pt idx="18">
                  <c:v>-1.0000000000000009E-3</c:v>
                </c:pt>
                <c:pt idx="19">
                  <c:v>-1.0000000000000009E-3</c:v>
                </c:pt>
                <c:pt idx="20">
                  <c:v>-7.999999999999674E-4</c:v>
                </c:pt>
                <c:pt idx="21">
                  <c:v>-1.0000000000000009E-3</c:v>
                </c:pt>
                <c:pt idx="22">
                  <c:v>-5.9999999999998943E-4</c:v>
                </c:pt>
                <c:pt idx="23">
                  <c:v>9.000000000000119E-4</c:v>
                </c:pt>
                <c:pt idx="24">
                  <c:v>7.0000000000003393E-4</c:v>
                </c:pt>
                <c:pt idx="25">
                  <c:v>1.4000000000000123E-3</c:v>
                </c:pt>
                <c:pt idx="26">
                  <c:v>1.3000000000000234E-3</c:v>
                </c:pt>
                <c:pt idx="27">
                  <c:v>3.5000000000000031E-3</c:v>
                </c:pt>
                <c:pt idx="28">
                  <c:v>3.5000000000000031E-3</c:v>
                </c:pt>
                <c:pt idx="29">
                  <c:v>3.7000000000000366E-3</c:v>
                </c:pt>
                <c:pt idx="30">
                  <c:v>7.0000000000003393E-4</c:v>
                </c:pt>
                <c:pt idx="31">
                  <c:v>2.9000000000000137E-3</c:v>
                </c:pt>
                <c:pt idx="32">
                  <c:v>2.7000000000000357E-3</c:v>
                </c:pt>
                <c:pt idx="33">
                  <c:v>-9.9999999999988987E-5</c:v>
                </c:pt>
                <c:pt idx="34">
                  <c:v>-6.9999999999997842E-4</c:v>
                </c:pt>
                <c:pt idx="35">
                  <c:v>2.5000000000000022E-3</c:v>
                </c:pt>
                <c:pt idx="36">
                  <c:v>2.8000000000000247E-3</c:v>
                </c:pt>
                <c:pt idx="37">
                  <c:v>2.9000000000000137E-3</c:v>
                </c:pt>
                <c:pt idx="38">
                  <c:v>8.0000000000002292E-4</c:v>
                </c:pt>
                <c:pt idx="39">
                  <c:v>3.0999999999999917E-3</c:v>
                </c:pt>
                <c:pt idx="40">
                  <c:v>-8.9999999999995639E-4</c:v>
                </c:pt>
                <c:pt idx="41">
                  <c:v>2.0999999999999908E-3</c:v>
                </c:pt>
                <c:pt idx="42">
                  <c:v>3.4000000000000141E-3</c:v>
                </c:pt>
                <c:pt idx="43">
                  <c:v>2.8000000000000247E-3</c:v>
                </c:pt>
                <c:pt idx="44">
                  <c:v>1.9000000000000128E-3</c:v>
                </c:pt>
                <c:pt idx="45">
                  <c:v>1.0999999999999899E-3</c:v>
                </c:pt>
                <c:pt idx="46">
                  <c:v>4.0000000000000036E-3</c:v>
                </c:pt>
                <c:pt idx="47">
                  <c:v>5.9000000000000163E-3</c:v>
                </c:pt>
                <c:pt idx="48">
                  <c:v>2.5000000000000022E-3</c:v>
                </c:pt>
                <c:pt idx="49">
                  <c:v>3.8000000000000256E-3</c:v>
                </c:pt>
                <c:pt idx="50">
                  <c:v>-1.0000000000000009E-3</c:v>
                </c:pt>
                <c:pt idx="51">
                  <c:v>2.4000000000000132E-3</c:v>
                </c:pt>
                <c:pt idx="52">
                  <c:v>3.0999999999999917E-3</c:v>
                </c:pt>
                <c:pt idx="53">
                  <c:v>3.4000000000000141E-3</c:v>
                </c:pt>
                <c:pt idx="54">
                  <c:v>1.8000000000000238E-3</c:v>
                </c:pt>
                <c:pt idx="55">
                  <c:v>2.5999999999999912E-3</c:v>
                </c:pt>
                <c:pt idx="56">
                  <c:v>1.4000000000000123E-3</c:v>
                </c:pt>
                <c:pt idx="57">
                  <c:v>4.400000000000015E-3</c:v>
                </c:pt>
                <c:pt idx="58">
                  <c:v>3.0999999999999917E-3</c:v>
                </c:pt>
                <c:pt idx="59">
                  <c:v>3.0999999999999917E-3</c:v>
                </c:pt>
                <c:pt idx="60">
                  <c:v>3.5000000000000031E-3</c:v>
                </c:pt>
                <c:pt idx="61">
                  <c:v>1.4000000000000123E-3</c:v>
                </c:pt>
                <c:pt idx="62">
                  <c:v>3.4000000000000141E-3</c:v>
                </c:pt>
                <c:pt idx="63">
                  <c:v>2.4000000000000132E-3</c:v>
                </c:pt>
                <c:pt idx="64">
                  <c:v>1.0000000000000009E-3</c:v>
                </c:pt>
                <c:pt idx="65">
                  <c:v>-6.9999999999997842E-4</c:v>
                </c:pt>
                <c:pt idx="66">
                  <c:v>-1.0000000000000009E-3</c:v>
                </c:pt>
                <c:pt idx="67">
                  <c:v>9.000000000000119E-4</c:v>
                </c:pt>
                <c:pt idx="68">
                  <c:v>2.0999999999999908E-3</c:v>
                </c:pt>
                <c:pt idx="69">
                  <c:v>-2.1999999999999797E-3</c:v>
                </c:pt>
                <c:pt idx="70">
                  <c:v>1.3000000000000234E-3</c:v>
                </c:pt>
                <c:pt idx="71">
                  <c:v>1.2000000000000344E-3</c:v>
                </c:pt>
                <c:pt idx="72">
                  <c:v>1.3000000000000234E-3</c:v>
                </c:pt>
                <c:pt idx="73">
                  <c:v>1.3000000000000234E-3</c:v>
                </c:pt>
                <c:pt idx="74">
                  <c:v>4.300000000000026E-3</c:v>
                </c:pt>
                <c:pt idx="75">
                  <c:v>3.2000000000000361E-3</c:v>
                </c:pt>
                <c:pt idx="76">
                  <c:v>4.400000000000015E-3</c:v>
                </c:pt>
                <c:pt idx="77">
                  <c:v>2.7000000000000357E-3</c:v>
                </c:pt>
                <c:pt idx="78">
                  <c:v>-7.999999999999674E-4</c:v>
                </c:pt>
                <c:pt idx="79">
                  <c:v>-5.0000000000000044E-4</c:v>
                </c:pt>
                <c:pt idx="80">
                  <c:v>3.8000000000000256E-3</c:v>
                </c:pt>
                <c:pt idx="81">
                  <c:v>3.7000000000000366E-3</c:v>
                </c:pt>
                <c:pt idx="82">
                  <c:v>-1.0000000000000009E-3</c:v>
                </c:pt>
                <c:pt idx="83">
                  <c:v>3.0000000000002247E-4</c:v>
                </c:pt>
                <c:pt idx="84">
                  <c:v>2.0999999999999908E-3</c:v>
                </c:pt>
                <c:pt idx="85">
                  <c:v>0</c:v>
                </c:pt>
                <c:pt idx="86">
                  <c:v>4.8000000000000265E-3</c:v>
                </c:pt>
                <c:pt idx="87">
                  <c:v>3.5000000000000031E-3</c:v>
                </c:pt>
                <c:pt idx="88">
                  <c:v>2.0000000000003348E-4</c:v>
                </c:pt>
                <c:pt idx="89">
                  <c:v>2.0000000000003348E-4</c:v>
                </c:pt>
                <c:pt idx="90">
                  <c:v>2.5999999999999912E-3</c:v>
                </c:pt>
                <c:pt idx="91">
                  <c:v>4.0000000000001146E-4</c:v>
                </c:pt>
                <c:pt idx="92">
                  <c:v>3.0000000000002247E-4</c:v>
                </c:pt>
                <c:pt idx="93">
                  <c:v>1.5999999999999903E-3</c:v>
                </c:pt>
                <c:pt idx="94">
                  <c:v>8.0000000000002292E-4</c:v>
                </c:pt>
                <c:pt idx="95">
                  <c:v>2.3000000000000242E-3</c:v>
                </c:pt>
                <c:pt idx="96">
                  <c:v>1.8000000000000238E-3</c:v>
                </c:pt>
                <c:pt idx="97">
                  <c:v>1.3000000000000234E-3</c:v>
                </c:pt>
                <c:pt idx="98">
                  <c:v>1.2000000000000344E-3</c:v>
                </c:pt>
                <c:pt idx="99">
                  <c:v>-1.0999999999999899E-3</c:v>
                </c:pt>
                <c:pt idx="100">
                  <c:v>3.4000000000000141E-3</c:v>
                </c:pt>
                <c:pt idx="101">
                  <c:v>-1.1999999999999789E-3</c:v>
                </c:pt>
                <c:pt idx="102">
                  <c:v>5.0000000000000044E-4</c:v>
                </c:pt>
                <c:pt idx="103">
                  <c:v>1.8000000000000238E-3</c:v>
                </c:pt>
                <c:pt idx="104">
                  <c:v>1.0999999999999899E-3</c:v>
                </c:pt>
                <c:pt idx="105">
                  <c:v>-6.9999999999997842E-4</c:v>
                </c:pt>
                <c:pt idx="106">
                  <c:v>3.0000000000000027E-3</c:v>
                </c:pt>
                <c:pt idx="107">
                  <c:v>3.0999999999999917E-3</c:v>
                </c:pt>
                <c:pt idx="108">
                  <c:v>1.7000000000000348E-3</c:v>
                </c:pt>
                <c:pt idx="109">
                  <c:v>1.7000000000000348E-3</c:v>
                </c:pt>
                <c:pt idx="110">
                  <c:v>-6.9999999999997842E-4</c:v>
                </c:pt>
                <c:pt idx="111">
                  <c:v>-1.9999999999997797E-4</c:v>
                </c:pt>
                <c:pt idx="112">
                  <c:v>1.7000000000000348E-3</c:v>
                </c:pt>
                <c:pt idx="113">
                  <c:v>2.2000000000000353E-3</c:v>
                </c:pt>
                <c:pt idx="114">
                  <c:v>1.9000000000000128E-3</c:v>
                </c:pt>
                <c:pt idx="115">
                  <c:v>5.5000000000000049E-3</c:v>
                </c:pt>
                <c:pt idx="116">
                  <c:v>6.0000000000004494E-4</c:v>
                </c:pt>
                <c:pt idx="117">
                  <c:v>2.9000000000000137E-3</c:v>
                </c:pt>
                <c:pt idx="118">
                  <c:v>3.7000000000000366E-3</c:v>
                </c:pt>
                <c:pt idx="119">
                  <c:v>6.4000000000000168E-3</c:v>
                </c:pt>
                <c:pt idx="120">
                  <c:v>4.500000000000004E-3</c:v>
                </c:pt>
                <c:pt idx="121">
                  <c:v>-3.9999999999995595E-4</c:v>
                </c:pt>
                <c:pt idx="122">
                  <c:v>2.7000000000000357E-3</c:v>
                </c:pt>
                <c:pt idx="123">
                  <c:v>-2.1299999999999986E-2</c:v>
                </c:pt>
                <c:pt idx="124">
                  <c:v>-2.2299999999999986E-2</c:v>
                </c:pt>
                <c:pt idx="125">
                  <c:v>-2.0699999999999996E-2</c:v>
                </c:pt>
                <c:pt idx="126">
                  <c:v>-2.4499999999999966E-2</c:v>
                </c:pt>
                <c:pt idx="127">
                  <c:v>-1.9899999999999973E-2</c:v>
                </c:pt>
                <c:pt idx="128">
                  <c:v>-2.0899999999999974E-2</c:v>
                </c:pt>
                <c:pt idx="129">
                  <c:v>-2.1699999999999997E-2</c:v>
                </c:pt>
                <c:pt idx="130">
                  <c:v>-2.360000000000001E-2</c:v>
                </c:pt>
                <c:pt idx="131">
                  <c:v>-2.2299999999999986E-2</c:v>
                </c:pt>
                <c:pt idx="132">
                  <c:v>-2.0100000000000007E-2</c:v>
                </c:pt>
                <c:pt idx="133">
                  <c:v>-2.2999999999999965E-2</c:v>
                </c:pt>
                <c:pt idx="134">
                  <c:v>-2.6499999999999968E-2</c:v>
                </c:pt>
                <c:pt idx="135">
                  <c:v>-2.2199999999999998E-2</c:v>
                </c:pt>
                <c:pt idx="136">
                  <c:v>-2.6499999999999968E-2</c:v>
                </c:pt>
                <c:pt idx="137">
                  <c:v>-2.3999999999999966E-2</c:v>
                </c:pt>
                <c:pt idx="138">
                  <c:v>-2.899999999999997E-2</c:v>
                </c:pt>
                <c:pt idx="139">
                  <c:v>-2.899999999999997E-2</c:v>
                </c:pt>
                <c:pt idx="140">
                  <c:v>-2.6899999999999979E-2</c:v>
                </c:pt>
                <c:pt idx="141">
                  <c:v>-2.2600000000000009E-2</c:v>
                </c:pt>
                <c:pt idx="142">
                  <c:v>-2.4499999999999966E-2</c:v>
                </c:pt>
                <c:pt idx="143">
                  <c:v>-2.2499999999999964E-2</c:v>
                </c:pt>
                <c:pt idx="144">
                  <c:v>-2.3199999999999998E-2</c:v>
                </c:pt>
                <c:pt idx="145">
                  <c:v>-2.579999999999999E-2</c:v>
                </c:pt>
                <c:pt idx="146">
                  <c:v>-2.8299999999999992E-2</c:v>
                </c:pt>
                <c:pt idx="147">
                  <c:v>-2.5499999999999967E-2</c:v>
                </c:pt>
                <c:pt idx="148">
                  <c:v>-2.739999999999998E-2</c:v>
                </c:pt>
                <c:pt idx="149">
                  <c:v>-2.9200000000000004E-2</c:v>
                </c:pt>
                <c:pt idx="150">
                  <c:v>-2.9099999999999959E-2</c:v>
                </c:pt>
                <c:pt idx="151">
                  <c:v>-2.629999999999999E-2</c:v>
                </c:pt>
                <c:pt idx="152">
                  <c:v>-2.9899999999999982E-2</c:v>
                </c:pt>
                <c:pt idx="153">
                  <c:v>-2.9399999999999982E-2</c:v>
                </c:pt>
                <c:pt idx="154">
                  <c:v>-2.9799999999999993E-2</c:v>
                </c:pt>
                <c:pt idx="155">
                  <c:v>-3.3299999999999996E-2</c:v>
                </c:pt>
                <c:pt idx="156">
                  <c:v>-2.8299999999999992E-2</c:v>
                </c:pt>
                <c:pt idx="157">
                  <c:v>-2.7299999999999991E-2</c:v>
                </c:pt>
                <c:pt idx="158">
                  <c:v>-3.4299999999999997E-2</c:v>
                </c:pt>
                <c:pt idx="159">
                  <c:v>-3.1899999999999984E-2</c:v>
                </c:pt>
                <c:pt idx="160">
                  <c:v>-3.3099999999999963E-2</c:v>
                </c:pt>
                <c:pt idx="161">
                  <c:v>-3.2399999999999984E-2</c:v>
                </c:pt>
                <c:pt idx="162">
                  <c:v>-6.9799999999999973E-2</c:v>
                </c:pt>
                <c:pt idx="163">
                  <c:v>-7.5999999999999956E-2</c:v>
                </c:pt>
                <c:pt idx="164">
                  <c:v>-9.2899999999999983E-2</c:v>
                </c:pt>
                <c:pt idx="165">
                  <c:v>-9.3399999999999983E-2</c:v>
                </c:pt>
                <c:pt idx="166">
                  <c:v>-0.12529999999999999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6-46F1-912F-2FD5B420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530495"/>
        <c:axId val="1368529055"/>
      </c:lineChart>
      <c:catAx>
        <c:axId val="1368530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529055"/>
        <c:crosses val="autoZero"/>
        <c:auto val="1"/>
        <c:lblAlgn val="ctr"/>
        <c:lblOffset val="100"/>
        <c:noMultiLvlLbl val="0"/>
      </c:catAx>
      <c:valAx>
        <c:axId val="13685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853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backward_test!$F$2:$F$168</c:f>
              <c:numCache>
                <c:formatCode>General</c:formatCode>
                <c:ptCount val="167"/>
                <c:pt idx="0">
                  <c:v>0.36809999999999998</c:v>
                </c:pt>
                <c:pt idx="1">
                  <c:v>0.36830000000000002</c:v>
                </c:pt>
                <c:pt idx="2">
                  <c:v>0.36820000000000003</c:v>
                </c:pt>
                <c:pt idx="3">
                  <c:v>0.36830000000000002</c:v>
                </c:pt>
                <c:pt idx="4">
                  <c:v>0.36820000000000003</c:v>
                </c:pt>
                <c:pt idx="5">
                  <c:v>0.36820000000000003</c:v>
                </c:pt>
                <c:pt idx="6">
                  <c:v>0.36830000000000002</c:v>
                </c:pt>
                <c:pt idx="7">
                  <c:v>0.36820000000000003</c:v>
                </c:pt>
                <c:pt idx="8">
                  <c:v>0.36830000000000002</c:v>
                </c:pt>
                <c:pt idx="9">
                  <c:v>0.36820000000000003</c:v>
                </c:pt>
                <c:pt idx="10">
                  <c:v>0.36830000000000002</c:v>
                </c:pt>
                <c:pt idx="11">
                  <c:v>0.36830000000000002</c:v>
                </c:pt>
                <c:pt idx="12">
                  <c:v>0.36720000000000003</c:v>
                </c:pt>
                <c:pt idx="13">
                  <c:v>0.36830000000000002</c:v>
                </c:pt>
                <c:pt idx="14">
                  <c:v>0.36830000000000002</c:v>
                </c:pt>
                <c:pt idx="15">
                  <c:v>0.36699999999999999</c:v>
                </c:pt>
                <c:pt idx="16">
                  <c:v>0.36709999999999998</c:v>
                </c:pt>
                <c:pt idx="17">
                  <c:v>0.36709999999999998</c:v>
                </c:pt>
                <c:pt idx="18">
                  <c:v>0.36709999999999998</c:v>
                </c:pt>
                <c:pt idx="19">
                  <c:v>0.36709999999999998</c:v>
                </c:pt>
                <c:pt idx="20">
                  <c:v>0.36730000000000002</c:v>
                </c:pt>
                <c:pt idx="21">
                  <c:v>0.36709999999999998</c:v>
                </c:pt>
                <c:pt idx="22">
                  <c:v>0.36749999999999999</c:v>
                </c:pt>
                <c:pt idx="23">
                  <c:v>0.36899999999999999</c:v>
                </c:pt>
                <c:pt idx="24">
                  <c:v>0.36880000000000002</c:v>
                </c:pt>
                <c:pt idx="25">
                  <c:v>0.3695</c:v>
                </c:pt>
                <c:pt idx="26">
                  <c:v>0.36940000000000001</c:v>
                </c:pt>
                <c:pt idx="27">
                  <c:v>0.37159999999999999</c:v>
                </c:pt>
                <c:pt idx="28">
                  <c:v>0.37159999999999999</c:v>
                </c:pt>
                <c:pt idx="29">
                  <c:v>0.37180000000000002</c:v>
                </c:pt>
                <c:pt idx="30">
                  <c:v>0.36880000000000002</c:v>
                </c:pt>
                <c:pt idx="31">
                  <c:v>0.371</c:v>
                </c:pt>
                <c:pt idx="32">
                  <c:v>0.37080000000000002</c:v>
                </c:pt>
                <c:pt idx="33">
                  <c:v>0.36799999999999999</c:v>
                </c:pt>
                <c:pt idx="34">
                  <c:v>0.3674</c:v>
                </c:pt>
                <c:pt idx="35">
                  <c:v>0.37059999999999998</c:v>
                </c:pt>
                <c:pt idx="36">
                  <c:v>0.37090000000000001</c:v>
                </c:pt>
                <c:pt idx="37">
                  <c:v>0.371</c:v>
                </c:pt>
                <c:pt idx="38">
                  <c:v>0.36890000000000001</c:v>
                </c:pt>
                <c:pt idx="39">
                  <c:v>0.37119999999999997</c:v>
                </c:pt>
                <c:pt idx="40">
                  <c:v>0.36720000000000003</c:v>
                </c:pt>
                <c:pt idx="41">
                  <c:v>0.37019999999999997</c:v>
                </c:pt>
                <c:pt idx="42">
                  <c:v>0.3715</c:v>
                </c:pt>
                <c:pt idx="43">
                  <c:v>0.37090000000000001</c:v>
                </c:pt>
                <c:pt idx="44">
                  <c:v>0.37</c:v>
                </c:pt>
                <c:pt idx="45">
                  <c:v>0.36919999999999997</c:v>
                </c:pt>
                <c:pt idx="46">
                  <c:v>0.37209999999999999</c:v>
                </c:pt>
                <c:pt idx="47">
                  <c:v>0.374</c:v>
                </c:pt>
                <c:pt idx="48">
                  <c:v>0.37059999999999998</c:v>
                </c:pt>
                <c:pt idx="49">
                  <c:v>0.37190000000000001</c:v>
                </c:pt>
                <c:pt idx="50">
                  <c:v>0.36709999999999998</c:v>
                </c:pt>
                <c:pt idx="51">
                  <c:v>0.3705</c:v>
                </c:pt>
                <c:pt idx="52">
                  <c:v>0.37119999999999997</c:v>
                </c:pt>
                <c:pt idx="53">
                  <c:v>0.3715</c:v>
                </c:pt>
                <c:pt idx="54">
                  <c:v>0.36990000000000001</c:v>
                </c:pt>
                <c:pt idx="55">
                  <c:v>0.37069999999999997</c:v>
                </c:pt>
                <c:pt idx="56">
                  <c:v>0.3695</c:v>
                </c:pt>
                <c:pt idx="57">
                  <c:v>0.3725</c:v>
                </c:pt>
                <c:pt idx="58">
                  <c:v>0.37119999999999997</c:v>
                </c:pt>
                <c:pt idx="59">
                  <c:v>0.37119999999999997</c:v>
                </c:pt>
                <c:pt idx="60">
                  <c:v>0.37159999999999999</c:v>
                </c:pt>
                <c:pt idx="61">
                  <c:v>0.3695</c:v>
                </c:pt>
                <c:pt idx="62">
                  <c:v>0.3715</c:v>
                </c:pt>
                <c:pt idx="63">
                  <c:v>0.3705</c:v>
                </c:pt>
                <c:pt idx="64">
                  <c:v>0.36909999999999998</c:v>
                </c:pt>
                <c:pt idx="65">
                  <c:v>0.3674</c:v>
                </c:pt>
                <c:pt idx="66">
                  <c:v>0.36709999999999998</c:v>
                </c:pt>
                <c:pt idx="67">
                  <c:v>0.36899999999999999</c:v>
                </c:pt>
                <c:pt idx="68">
                  <c:v>0.37019999999999997</c:v>
                </c:pt>
                <c:pt idx="69">
                  <c:v>0.3659</c:v>
                </c:pt>
                <c:pt idx="70">
                  <c:v>0.36940000000000001</c:v>
                </c:pt>
                <c:pt idx="71">
                  <c:v>0.36930000000000002</c:v>
                </c:pt>
                <c:pt idx="72">
                  <c:v>0.36940000000000001</c:v>
                </c:pt>
                <c:pt idx="73">
                  <c:v>0.36940000000000001</c:v>
                </c:pt>
                <c:pt idx="74">
                  <c:v>0.37240000000000001</c:v>
                </c:pt>
                <c:pt idx="75">
                  <c:v>0.37130000000000002</c:v>
                </c:pt>
                <c:pt idx="76">
                  <c:v>0.3725</c:v>
                </c:pt>
                <c:pt idx="77">
                  <c:v>0.37080000000000002</c:v>
                </c:pt>
                <c:pt idx="78">
                  <c:v>0.36730000000000002</c:v>
                </c:pt>
                <c:pt idx="79">
                  <c:v>0.36759999999999998</c:v>
                </c:pt>
                <c:pt idx="80">
                  <c:v>0.37190000000000001</c:v>
                </c:pt>
                <c:pt idx="81">
                  <c:v>0.37180000000000002</c:v>
                </c:pt>
                <c:pt idx="82">
                  <c:v>0.36709999999999998</c:v>
                </c:pt>
                <c:pt idx="83">
                  <c:v>0.36840000000000001</c:v>
                </c:pt>
                <c:pt idx="84">
                  <c:v>0.37019999999999997</c:v>
                </c:pt>
                <c:pt idx="85">
                  <c:v>0.36809999999999998</c:v>
                </c:pt>
                <c:pt idx="86">
                  <c:v>0.37290000000000001</c:v>
                </c:pt>
                <c:pt idx="87">
                  <c:v>0.37159999999999999</c:v>
                </c:pt>
                <c:pt idx="88">
                  <c:v>0.36830000000000002</c:v>
                </c:pt>
                <c:pt idx="89">
                  <c:v>0.36830000000000002</c:v>
                </c:pt>
                <c:pt idx="90">
                  <c:v>0.37069999999999997</c:v>
                </c:pt>
                <c:pt idx="91">
                  <c:v>0.36849999999999999</c:v>
                </c:pt>
                <c:pt idx="92">
                  <c:v>0.36840000000000001</c:v>
                </c:pt>
                <c:pt idx="93">
                  <c:v>0.36969999999999997</c:v>
                </c:pt>
                <c:pt idx="94">
                  <c:v>0.36890000000000001</c:v>
                </c:pt>
                <c:pt idx="95">
                  <c:v>0.37040000000000001</c:v>
                </c:pt>
                <c:pt idx="96">
                  <c:v>0.36990000000000001</c:v>
                </c:pt>
                <c:pt idx="97">
                  <c:v>0.36940000000000001</c:v>
                </c:pt>
                <c:pt idx="98">
                  <c:v>0.36930000000000002</c:v>
                </c:pt>
                <c:pt idx="99">
                  <c:v>0.36699999999999999</c:v>
                </c:pt>
                <c:pt idx="100">
                  <c:v>0.3715</c:v>
                </c:pt>
                <c:pt idx="101">
                  <c:v>0.3669</c:v>
                </c:pt>
                <c:pt idx="102">
                  <c:v>0.36859999999999998</c:v>
                </c:pt>
                <c:pt idx="103">
                  <c:v>0.36990000000000001</c:v>
                </c:pt>
                <c:pt idx="104">
                  <c:v>0.36919999999999997</c:v>
                </c:pt>
                <c:pt idx="105">
                  <c:v>0.3674</c:v>
                </c:pt>
                <c:pt idx="106">
                  <c:v>0.37109999999999999</c:v>
                </c:pt>
                <c:pt idx="107">
                  <c:v>0.37119999999999997</c:v>
                </c:pt>
                <c:pt idx="108">
                  <c:v>0.36980000000000002</c:v>
                </c:pt>
                <c:pt idx="109">
                  <c:v>0.36980000000000002</c:v>
                </c:pt>
                <c:pt idx="110">
                  <c:v>0.3674</c:v>
                </c:pt>
                <c:pt idx="111">
                  <c:v>0.3679</c:v>
                </c:pt>
                <c:pt idx="112">
                  <c:v>0.36980000000000002</c:v>
                </c:pt>
                <c:pt idx="113">
                  <c:v>0.37030000000000002</c:v>
                </c:pt>
                <c:pt idx="114">
                  <c:v>0.37</c:v>
                </c:pt>
                <c:pt idx="115">
                  <c:v>0.37359999999999999</c:v>
                </c:pt>
                <c:pt idx="116">
                  <c:v>0.36870000000000003</c:v>
                </c:pt>
                <c:pt idx="117">
                  <c:v>0.371</c:v>
                </c:pt>
                <c:pt idx="118">
                  <c:v>0.37180000000000002</c:v>
                </c:pt>
                <c:pt idx="119">
                  <c:v>0.3745</c:v>
                </c:pt>
                <c:pt idx="120">
                  <c:v>0.37259999999999999</c:v>
                </c:pt>
                <c:pt idx="121">
                  <c:v>0.36770000000000003</c:v>
                </c:pt>
                <c:pt idx="122">
                  <c:v>0.37080000000000002</c:v>
                </c:pt>
                <c:pt idx="123">
                  <c:v>0.3468</c:v>
                </c:pt>
                <c:pt idx="124">
                  <c:v>0.3458</c:v>
                </c:pt>
                <c:pt idx="125">
                  <c:v>0.34739999999999999</c:v>
                </c:pt>
                <c:pt idx="126">
                  <c:v>0.34360000000000002</c:v>
                </c:pt>
                <c:pt idx="127">
                  <c:v>0.34820000000000001</c:v>
                </c:pt>
                <c:pt idx="128">
                  <c:v>0.34720000000000001</c:v>
                </c:pt>
                <c:pt idx="129">
                  <c:v>0.34639999999999999</c:v>
                </c:pt>
                <c:pt idx="130">
                  <c:v>0.34449999999999997</c:v>
                </c:pt>
                <c:pt idx="131">
                  <c:v>0.3458</c:v>
                </c:pt>
                <c:pt idx="132">
                  <c:v>0.34799999999999998</c:v>
                </c:pt>
                <c:pt idx="133">
                  <c:v>0.34510000000000002</c:v>
                </c:pt>
                <c:pt idx="134">
                  <c:v>0.34160000000000001</c:v>
                </c:pt>
                <c:pt idx="135">
                  <c:v>0.34589999999999999</c:v>
                </c:pt>
                <c:pt idx="136">
                  <c:v>0.34160000000000001</c:v>
                </c:pt>
                <c:pt idx="137">
                  <c:v>0.34410000000000002</c:v>
                </c:pt>
                <c:pt idx="138">
                  <c:v>0.33910000000000001</c:v>
                </c:pt>
                <c:pt idx="139">
                  <c:v>0.33910000000000001</c:v>
                </c:pt>
                <c:pt idx="140">
                  <c:v>0.3412</c:v>
                </c:pt>
                <c:pt idx="141">
                  <c:v>0.34549999999999997</c:v>
                </c:pt>
                <c:pt idx="142">
                  <c:v>0.34360000000000002</c:v>
                </c:pt>
                <c:pt idx="143">
                  <c:v>0.34560000000000002</c:v>
                </c:pt>
                <c:pt idx="144">
                  <c:v>0.34489999999999998</c:v>
                </c:pt>
                <c:pt idx="145">
                  <c:v>0.34229999999999999</c:v>
                </c:pt>
                <c:pt idx="146">
                  <c:v>0.33979999999999999</c:v>
                </c:pt>
                <c:pt idx="147">
                  <c:v>0.34260000000000002</c:v>
                </c:pt>
                <c:pt idx="148">
                  <c:v>0.3407</c:v>
                </c:pt>
                <c:pt idx="149">
                  <c:v>0.33889999999999998</c:v>
                </c:pt>
                <c:pt idx="150">
                  <c:v>0.33900000000000002</c:v>
                </c:pt>
                <c:pt idx="151">
                  <c:v>0.34179999999999999</c:v>
                </c:pt>
                <c:pt idx="152">
                  <c:v>0.3382</c:v>
                </c:pt>
                <c:pt idx="153">
                  <c:v>0.3387</c:v>
                </c:pt>
                <c:pt idx="154">
                  <c:v>0.33829999999999999</c:v>
                </c:pt>
                <c:pt idx="155">
                  <c:v>0.33479999999999999</c:v>
                </c:pt>
                <c:pt idx="156">
                  <c:v>0.33979999999999999</c:v>
                </c:pt>
                <c:pt idx="157">
                  <c:v>0.34079999999999999</c:v>
                </c:pt>
                <c:pt idx="158">
                  <c:v>0.33379999999999999</c:v>
                </c:pt>
                <c:pt idx="159">
                  <c:v>0.3362</c:v>
                </c:pt>
                <c:pt idx="160">
                  <c:v>0.33500000000000002</c:v>
                </c:pt>
                <c:pt idx="161">
                  <c:v>0.3357</c:v>
                </c:pt>
                <c:pt idx="162">
                  <c:v>0.29830000000000001</c:v>
                </c:pt>
                <c:pt idx="163">
                  <c:v>0.29210000000000003</c:v>
                </c:pt>
                <c:pt idx="164">
                  <c:v>0.2752</c:v>
                </c:pt>
                <c:pt idx="165">
                  <c:v>0.2747</c:v>
                </c:pt>
                <c:pt idx="166">
                  <c:v>0.24279999999999999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9-47BC-8503-0B556487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168431"/>
        <c:axId val="1386169391"/>
      </c:lineChart>
      <c:catAx>
        <c:axId val="138616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69391"/>
        <c:crosses val="autoZero"/>
        <c:auto val="1"/>
        <c:lblAlgn val="ctr"/>
        <c:lblOffset val="100"/>
        <c:noMultiLvlLbl val="0"/>
      </c:catAx>
      <c:valAx>
        <c:axId val="13861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16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test3!$M$2:$M$169</c:f>
              <c:numCache>
                <c:formatCode>General</c:formatCode>
                <c:ptCount val="168"/>
                <c:pt idx="0">
                  <c:v>0.37040000000000001</c:v>
                </c:pt>
                <c:pt idx="1">
                  <c:v>0.36830000000000002</c:v>
                </c:pt>
                <c:pt idx="2">
                  <c:v>0.36830000000000002</c:v>
                </c:pt>
                <c:pt idx="3">
                  <c:v>0.36820000000000003</c:v>
                </c:pt>
                <c:pt idx="4">
                  <c:v>0.36820000000000003</c:v>
                </c:pt>
                <c:pt idx="5">
                  <c:v>0.36840000000000001</c:v>
                </c:pt>
                <c:pt idx="6">
                  <c:v>0.36830000000000002</c:v>
                </c:pt>
                <c:pt idx="7">
                  <c:v>0.36820000000000003</c:v>
                </c:pt>
                <c:pt idx="8">
                  <c:v>0.36809999999999998</c:v>
                </c:pt>
                <c:pt idx="9">
                  <c:v>0.36830000000000002</c:v>
                </c:pt>
                <c:pt idx="10">
                  <c:v>0.36730000000000002</c:v>
                </c:pt>
                <c:pt idx="11">
                  <c:v>0.36820000000000003</c:v>
                </c:pt>
                <c:pt idx="12">
                  <c:v>0.36830000000000002</c:v>
                </c:pt>
                <c:pt idx="13">
                  <c:v>0.37009999999999998</c:v>
                </c:pt>
                <c:pt idx="14">
                  <c:v>0.37019999999999997</c:v>
                </c:pt>
                <c:pt idx="15">
                  <c:v>0.37140000000000001</c:v>
                </c:pt>
                <c:pt idx="16">
                  <c:v>0.37119999999999997</c:v>
                </c:pt>
                <c:pt idx="17">
                  <c:v>0.37140000000000001</c:v>
                </c:pt>
                <c:pt idx="18">
                  <c:v>0.36980000000000002</c:v>
                </c:pt>
                <c:pt idx="19">
                  <c:v>0.36990000000000001</c:v>
                </c:pt>
                <c:pt idx="20">
                  <c:v>0.36969999999999997</c:v>
                </c:pt>
                <c:pt idx="21">
                  <c:v>0.36980000000000002</c:v>
                </c:pt>
                <c:pt idx="22">
                  <c:v>0.36969999999999997</c:v>
                </c:pt>
                <c:pt idx="23">
                  <c:v>0.36890000000000001</c:v>
                </c:pt>
                <c:pt idx="24">
                  <c:v>0.37040000000000001</c:v>
                </c:pt>
                <c:pt idx="25">
                  <c:v>0.3705</c:v>
                </c:pt>
                <c:pt idx="26">
                  <c:v>0.37040000000000001</c:v>
                </c:pt>
                <c:pt idx="27">
                  <c:v>0.37040000000000001</c:v>
                </c:pt>
                <c:pt idx="28">
                  <c:v>0.36959999999999998</c:v>
                </c:pt>
                <c:pt idx="29">
                  <c:v>0.37180000000000002</c:v>
                </c:pt>
                <c:pt idx="30">
                  <c:v>0.37169999999999997</c:v>
                </c:pt>
                <c:pt idx="31">
                  <c:v>0.37009999999999998</c:v>
                </c:pt>
                <c:pt idx="32">
                  <c:v>0.37</c:v>
                </c:pt>
                <c:pt idx="33">
                  <c:v>0.36880000000000002</c:v>
                </c:pt>
                <c:pt idx="34">
                  <c:v>0.371</c:v>
                </c:pt>
                <c:pt idx="35">
                  <c:v>0.36820000000000003</c:v>
                </c:pt>
                <c:pt idx="36">
                  <c:v>0.36840000000000001</c:v>
                </c:pt>
                <c:pt idx="37">
                  <c:v>0.36780000000000002</c:v>
                </c:pt>
                <c:pt idx="38">
                  <c:v>0.36959999999999998</c:v>
                </c:pt>
                <c:pt idx="39">
                  <c:v>0.36990000000000001</c:v>
                </c:pt>
                <c:pt idx="40">
                  <c:v>0.37</c:v>
                </c:pt>
                <c:pt idx="41">
                  <c:v>0.36820000000000003</c:v>
                </c:pt>
                <c:pt idx="42">
                  <c:v>0.36890000000000001</c:v>
                </c:pt>
                <c:pt idx="43">
                  <c:v>0.36709999999999998</c:v>
                </c:pt>
                <c:pt idx="44">
                  <c:v>0.36969999999999997</c:v>
                </c:pt>
                <c:pt idx="45">
                  <c:v>0.36940000000000001</c:v>
                </c:pt>
                <c:pt idx="46">
                  <c:v>0.37069999999999997</c:v>
                </c:pt>
                <c:pt idx="47">
                  <c:v>0.36899999999999999</c:v>
                </c:pt>
                <c:pt idx="48">
                  <c:v>0.3705</c:v>
                </c:pt>
                <c:pt idx="49">
                  <c:v>0.36870000000000003</c:v>
                </c:pt>
                <c:pt idx="50">
                  <c:v>0.36749999999999999</c:v>
                </c:pt>
                <c:pt idx="51">
                  <c:v>0.36780000000000002</c:v>
                </c:pt>
                <c:pt idx="52">
                  <c:v>0.37109999999999999</c:v>
                </c:pt>
                <c:pt idx="53">
                  <c:v>0.371</c:v>
                </c:pt>
                <c:pt idx="54">
                  <c:v>0.37109999999999999</c:v>
                </c:pt>
                <c:pt idx="55">
                  <c:v>0.37090000000000001</c:v>
                </c:pt>
                <c:pt idx="56">
                  <c:v>0.37180000000000002</c:v>
                </c:pt>
                <c:pt idx="57">
                  <c:v>0.37180000000000002</c:v>
                </c:pt>
                <c:pt idx="58">
                  <c:v>0.36899999999999999</c:v>
                </c:pt>
                <c:pt idx="59">
                  <c:v>0.37009999999999998</c:v>
                </c:pt>
                <c:pt idx="60">
                  <c:v>0.36990000000000001</c:v>
                </c:pt>
                <c:pt idx="61">
                  <c:v>0.36870000000000003</c:v>
                </c:pt>
                <c:pt idx="62">
                  <c:v>0.36919999999999997</c:v>
                </c:pt>
                <c:pt idx="63">
                  <c:v>0.37040000000000001</c:v>
                </c:pt>
                <c:pt idx="64">
                  <c:v>0.37090000000000001</c:v>
                </c:pt>
                <c:pt idx="65">
                  <c:v>0.36940000000000001</c:v>
                </c:pt>
                <c:pt idx="66">
                  <c:v>0.36919999999999997</c:v>
                </c:pt>
                <c:pt idx="67">
                  <c:v>0.36930000000000002</c:v>
                </c:pt>
                <c:pt idx="68">
                  <c:v>0.36749999999999999</c:v>
                </c:pt>
                <c:pt idx="69">
                  <c:v>0.36870000000000003</c:v>
                </c:pt>
                <c:pt idx="70">
                  <c:v>0.36849999999999999</c:v>
                </c:pt>
                <c:pt idx="71">
                  <c:v>0.36820000000000003</c:v>
                </c:pt>
                <c:pt idx="72">
                  <c:v>0.36919999999999997</c:v>
                </c:pt>
                <c:pt idx="73">
                  <c:v>0.36890000000000001</c:v>
                </c:pt>
                <c:pt idx="74">
                  <c:v>0.36919999999999997</c:v>
                </c:pt>
                <c:pt idx="75">
                  <c:v>0.37030000000000002</c:v>
                </c:pt>
                <c:pt idx="76">
                  <c:v>0.36990000000000001</c:v>
                </c:pt>
                <c:pt idx="77">
                  <c:v>0.37119999999999997</c:v>
                </c:pt>
                <c:pt idx="78">
                  <c:v>0.37009999999999998</c:v>
                </c:pt>
                <c:pt idx="79">
                  <c:v>0.36799999999999999</c:v>
                </c:pt>
                <c:pt idx="80">
                  <c:v>0.36909999999999998</c:v>
                </c:pt>
                <c:pt idx="81">
                  <c:v>0.36840000000000001</c:v>
                </c:pt>
                <c:pt idx="82">
                  <c:v>0.36830000000000002</c:v>
                </c:pt>
                <c:pt idx="83">
                  <c:v>0.36880000000000002</c:v>
                </c:pt>
                <c:pt idx="84">
                  <c:v>0.3679</c:v>
                </c:pt>
                <c:pt idx="85">
                  <c:v>0.36770000000000003</c:v>
                </c:pt>
                <c:pt idx="86">
                  <c:v>0.37159999999999999</c:v>
                </c:pt>
                <c:pt idx="87">
                  <c:v>0.37159999999999999</c:v>
                </c:pt>
                <c:pt idx="88">
                  <c:v>0.37219999999999998</c:v>
                </c:pt>
                <c:pt idx="89">
                  <c:v>0.37109999999999999</c:v>
                </c:pt>
                <c:pt idx="90">
                  <c:v>0.3715</c:v>
                </c:pt>
                <c:pt idx="91">
                  <c:v>0.37169999999999997</c:v>
                </c:pt>
                <c:pt idx="92">
                  <c:v>0.36549999999999999</c:v>
                </c:pt>
                <c:pt idx="93">
                  <c:v>0.37169999999999997</c:v>
                </c:pt>
                <c:pt idx="94">
                  <c:v>0.3695</c:v>
                </c:pt>
                <c:pt idx="95">
                  <c:v>0.36840000000000001</c:v>
                </c:pt>
                <c:pt idx="96">
                  <c:v>0.36940000000000001</c:v>
                </c:pt>
                <c:pt idx="97">
                  <c:v>0.36840000000000001</c:v>
                </c:pt>
                <c:pt idx="98">
                  <c:v>0.36990000000000001</c:v>
                </c:pt>
                <c:pt idx="99">
                  <c:v>0.37019999999999997</c:v>
                </c:pt>
                <c:pt idx="100">
                  <c:v>0.37359999999999999</c:v>
                </c:pt>
                <c:pt idx="101">
                  <c:v>0.371</c:v>
                </c:pt>
                <c:pt idx="102">
                  <c:v>0.37069999999999997</c:v>
                </c:pt>
                <c:pt idx="103">
                  <c:v>0.36969999999999997</c:v>
                </c:pt>
                <c:pt idx="104">
                  <c:v>0.36520000000000002</c:v>
                </c:pt>
                <c:pt idx="105">
                  <c:v>0.36880000000000002</c:v>
                </c:pt>
                <c:pt idx="106">
                  <c:v>0.372</c:v>
                </c:pt>
                <c:pt idx="107">
                  <c:v>0.3705</c:v>
                </c:pt>
                <c:pt idx="108">
                  <c:v>0.36980000000000002</c:v>
                </c:pt>
                <c:pt idx="109">
                  <c:v>0.36940000000000001</c:v>
                </c:pt>
                <c:pt idx="110">
                  <c:v>0.37459999999999999</c:v>
                </c:pt>
                <c:pt idx="111">
                  <c:v>0.36870000000000003</c:v>
                </c:pt>
                <c:pt idx="112">
                  <c:v>0.36840000000000001</c:v>
                </c:pt>
                <c:pt idx="113">
                  <c:v>0.37240000000000001</c:v>
                </c:pt>
                <c:pt idx="114">
                  <c:v>0.37040000000000001</c:v>
                </c:pt>
                <c:pt idx="115">
                  <c:v>0.36909999999999998</c:v>
                </c:pt>
                <c:pt idx="116">
                  <c:v>0.37309999999999999</c:v>
                </c:pt>
                <c:pt idx="117">
                  <c:v>0.36849999999999999</c:v>
                </c:pt>
                <c:pt idx="118">
                  <c:v>0.37140000000000001</c:v>
                </c:pt>
                <c:pt idx="119">
                  <c:v>0.36930000000000002</c:v>
                </c:pt>
                <c:pt idx="120">
                  <c:v>0.3634</c:v>
                </c:pt>
                <c:pt idx="121">
                  <c:v>0.36280000000000001</c:v>
                </c:pt>
                <c:pt idx="122">
                  <c:v>0.3629</c:v>
                </c:pt>
                <c:pt idx="123">
                  <c:v>0.3624</c:v>
                </c:pt>
                <c:pt idx="124">
                  <c:v>0.34</c:v>
                </c:pt>
                <c:pt idx="125">
                  <c:v>0.33550000000000002</c:v>
                </c:pt>
                <c:pt idx="126">
                  <c:v>0.34150000000000003</c:v>
                </c:pt>
                <c:pt idx="127">
                  <c:v>0.33950000000000002</c:v>
                </c:pt>
                <c:pt idx="128">
                  <c:v>0.33850000000000002</c:v>
                </c:pt>
                <c:pt idx="129">
                  <c:v>0.33589999999999998</c:v>
                </c:pt>
                <c:pt idx="130">
                  <c:v>0.34100000000000003</c:v>
                </c:pt>
                <c:pt idx="131">
                  <c:v>0.34029999999999999</c:v>
                </c:pt>
                <c:pt idx="132">
                  <c:v>0.33850000000000002</c:v>
                </c:pt>
                <c:pt idx="133">
                  <c:v>0.3377</c:v>
                </c:pt>
                <c:pt idx="134">
                  <c:v>0.33660000000000001</c:v>
                </c:pt>
                <c:pt idx="135">
                  <c:v>0.33360000000000001</c:v>
                </c:pt>
                <c:pt idx="136">
                  <c:v>0.33529999999999999</c:v>
                </c:pt>
                <c:pt idx="137">
                  <c:v>0.33169999999999999</c:v>
                </c:pt>
                <c:pt idx="138">
                  <c:v>0.3337</c:v>
                </c:pt>
                <c:pt idx="139">
                  <c:v>0.33300000000000002</c:v>
                </c:pt>
                <c:pt idx="140">
                  <c:v>0.33100000000000002</c:v>
                </c:pt>
                <c:pt idx="141">
                  <c:v>0.32500000000000001</c:v>
                </c:pt>
                <c:pt idx="142">
                  <c:v>0.32740000000000002</c:v>
                </c:pt>
                <c:pt idx="143">
                  <c:v>0.3286</c:v>
                </c:pt>
                <c:pt idx="144">
                  <c:v>0.32690000000000002</c:v>
                </c:pt>
                <c:pt idx="145">
                  <c:v>0.32819999999999999</c:v>
                </c:pt>
                <c:pt idx="146">
                  <c:v>0.32550000000000001</c:v>
                </c:pt>
                <c:pt idx="147">
                  <c:v>0.32690000000000002</c:v>
                </c:pt>
                <c:pt idx="148">
                  <c:v>0.32700000000000001</c:v>
                </c:pt>
                <c:pt idx="149">
                  <c:v>0.32719999999999999</c:v>
                </c:pt>
                <c:pt idx="150">
                  <c:v>0.32519999999999999</c:v>
                </c:pt>
                <c:pt idx="151">
                  <c:v>0.32579999999999998</c:v>
                </c:pt>
                <c:pt idx="152">
                  <c:v>0.3221</c:v>
                </c:pt>
                <c:pt idx="153">
                  <c:v>0.32429999999999998</c:v>
                </c:pt>
                <c:pt idx="154">
                  <c:v>0.32719999999999999</c:v>
                </c:pt>
                <c:pt idx="155">
                  <c:v>0.3286</c:v>
                </c:pt>
                <c:pt idx="156">
                  <c:v>0.32869999999999999</c:v>
                </c:pt>
                <c:pt idx="157">
                  <c:v>0.32269999999999999</c:v>
                </c:pt>
                <c:pt idx="158">
                  <c:v>0.32540000000000002</c:v>
                </c:pt>
                <c:pt idx="159">
                  <c:v>0.32179999999999997</c:v>
                </c:pt>
                <c:pt idx="160">
                  <c:v>0.32590000000000002</c:v>
                </c:pt>
                <c:pt idx="161">
                  <c:v>0.32640000000000002</c:v>
                </c:pt>
                <c:pt idx="162">
                  <c:v>0.32290000000000002</c:v>
                </c:pt>
                <c:pt idx="163">
                  <c:v>0.32300000000000001</c:v>
                </c:pt>
                <c:pt idx="164">
                  <c:v>0.30869999999999997</c:v>
                </c:pt>
                <c:pt idx="165">
                  <c:v>0.2525</c:v>
                </c:pt>
                <c:pt idx="166">
                  <c:v>0.25019999999999998</c:v>
                </c:pt>
                <c:pt idx="167">
                  <c:v>0.1993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A-4D0F-BEB0-F6271D724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978207"/>
        <c:axId val="1363962847"/>
      </c:lineChart>
      <c:catAx>
        <c:axId val="136397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3962847"/>
        <c:crosses val="autoZero"/>
        <c:auto val="1"/>
        <c:lblAlgn val="ctr"/>
        <c:lblOffset val="100"/>
        <c:noMultiLvlLbl val="0"/>
      </c:catAx>
      <c:valAx>
        <c:axId val="13639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6397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223836</xdr:colOff>
      <xdr:row>0</xdr:row>
      <xdr:rowOff>80962</xdr:rowOff>
    </xdr:from>
    <xdr:to>
      <xdr:col>15</xdr:col>
      <xdr:colOff>66675</xdr:colOff>
      <xdr:row>11</xdr:row>
      <xdr:rowOff>150495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D6843E6-DA83-45AF-1E8D-33E276A4E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13</xdr:row>
      <xdr:rowOff>14286</xdr:rowOff>
    </xdr:from>
    <xdr:to>
      <xdr:col>22</xdr:col>
      <xdr:colOff>533400</xdr:colOff>
      <xdr:row>39</xdr:row>
      <xdr:rowOff>95249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966797C-92E0-2AEA-A300-CB2A15234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685799</xdr:colOff>
      <xdr:row>1</xdr:row>
      <xdr:rowOff>209549</xdr:rowOff>
    </xdr:from>
    <xdr:to>
      <xdr:col>21</xdr:col>
      <xdr:colOff>250824</xdr:colOff>
      <xdr:row>24</xdr:row>
      <xdr:rowOff>66674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62DA1F5-74A3-4047-91C4-E5C6B662C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452436</xdr:colOff>
      <xdr:row>25</xdr:row>
      <xdr:rowOff>166687</xdr:rowOff>
    </xdr:from>
    <xdr:to>
      <xdr:col>21</xdr:col>
      <xdr:colOff>285749</xdr:colOff>
      <xdr:row>48</xdr:row>
      <xdr:rowOff>184785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C85D47A-8884-E40C-13C9-F86DAD514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28</xdr:col>
      <xdr:colOff>146050</xdr:colOff>
      <xdr:row>28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6480B15-060D-4E06-8887-4CA40DF2A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5491F-9EA3-4570-86CD-AE83D66F1778}" name="표1" displayName="표1" ref="A1:N308" totalsRowShown="0">
  <autoFilter ref="A1:N308" xr:uid="{19B5491F-9EA3-4570-86CD-AE83D66F1778}">
    <filterColumn colId="10">
      <filters blank="1"/>
    </filterColumn>
  </autoFilter>
  <sortState xmlns:xlrd2="http://schemas.microsoft.com/office/spreadsheetml/2017/richdata2" ref="A2:K308">
    <sortCondition ref="B1:B308"/>
  </sortState>
  <tableColumns count="14">
    <tableColumn id="1" xr3:uid="{023A7DFA-3728-435B-9322-A2DC3230162C}" name="group_name"/>
    <tableColumn id="2" xr3:uid="{454C4849-4FB4-405D-8674-09FD278861DA}" name="feature_name"/>
    <tableColumn id="4" xr3:uid="{583B5988-94B1-4D80-88FF-5FD29A403AA4}" name="min"/>
    <tableColumn id="5" xr3:uid="{EF87EFAE-5091-4045-ADE7-03957E063F64}" name="q25"/>
    <tableColumn id="6" xr3:uid="{6A896F87-CBEF-4249-B793-C65972FE42EC}" name="median"/>
    <tableColumn id="7" xr3:uid="{8C23F136-B45E-47BD-A931-0C8542B3CE9B}" name="q75"/>
    <tableColumn id="8" xr3:uid="{CC3CF2AD-0B14-4875-A400-6BA95105A4CC}" name="max"/>
    <tableColumn id="9" xr3:uid="{B7002913-7157-45E6-AA99-E78EC94CCD79}" name="mean"/>
    <tableColumn id="10" xr3:uid="{02F6909A-C9F5-415D-B3B6-7823FBF0BEBC}" name="std"/>
    <tableColumn id="11" xr3:uid="{2BA56ADD-713C-4F51-88E4-035044567991}" name="ks_stat" dataDxfId="48"/>
    <tableColumn id="12" xr3:uid="{9752F757-74EE-4C1F-9FF8-FFEDDF5A4907}" name="note"/>
    <tableColumn id="17" xr3:uid="{61C44AE2-CA18-4E5D-B8ED-B5D894AF4659}" name="설명"/>
    <tableColumn id="18" xr3:uid="{08ABFBF8-13FE-451A-BBC2-FC5976932CA4}" name="열4" dataDxfId="47"/>
    <tableColumn id="19" xr3:uid="{2F8E6515-D82C-43FB-BC62-A85FD600C8AC}" name="열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2E3A51-48D5-4063-B376-CF899CE821D7}" name="표4" displayName="표4" ref="A1:C94" totalsRowShown="0" headerRowDxfId="46" dataDxfId="45">
  <autoFilter ref="A1:C94" xr:uid="{102E3A51-48D5-4063-B376-CF899CE821D7}"/>
  <tableColumns count="3">
    <tableColumn id="1" xr3:uid="{ED0EB057-958F-431A-A370-9C9156626CB1}" name="그룹" dataDxfId="44"/>
    <tableColumn id="2" xr3:uid="{17123DE2-331D-4663-BB89-C7A36FC36DB1}" name="변수" dataDxfId="43"/>
    <tableColumn id="3" xr3:uid="{D3A56CDE-B780-4AA1-B50F-F59CDA522407}" name="설명" dataDxfId="42">
      <calculatedColumnFormula>_xlfn.XLOOKUP(B2,표1[feature_name],표1[설명])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83221-8A2B-447E-A543-93FA0D1DA8C7}" name="표1_3" displayName="표1_3" ref="A1:J111" totalsRowShown="0" dataDxfId="90">
  <autoFilter ref="A1:J111" xr:uid="{59B83221-8A2B-447E-A543-93FA0D1DA8C7}"/>
  <sortState xmlns:xlrd2="http://schemas.microsoft.com/office/spreadsheetml/2017/richdata2" ref="A2:J111">
    <sortCondition ref="A1:A111"/>
  </sortState>
  <tableColumns count="10">
    <tableColumn id="1" xr3:uid="{CC8CAD07-7602-4666-9BC3-2CA2C1DF436D}" name="exp_id" dataDxfId="89"/>
    <tableColumn id="2" xr3:uid="{4D4FDA78-4393-433E-A2DD-2A779E478D70}" name="base_exp" dataDxfId="88"/>
    <tableColumn id="3" xr3:uid="{0758FC8C-1FA7-4FB9-9354-435F0438A96D}" name="change" dataDxfId="87"/>
    <tableColumn id="4" xr3:uid="{17F27CAC-7DCF-4696-BF16-1B3A18B81E2A}" name="CV PR-AUC" dataDxfId="86"/>
    <tableColumn id="5" xr3:uid="{0BEDD449-6146-46D9-9F46-E71C5CC0018D}" name="CV std" dataDxfId="85"/>
    <tableColumn id="6" xr3:uid="{21EAB0F7-4273-4310-912B-C0360BA266BB}" name="test PR-AUC" dataDxfId="84"/>
    <tableColumn id="7" xr3:uid="{1C1A00DA-F362-4327-8595-EE0749DE1D4F}" name="delta" dataDxfId="83">
      <calculatedColumnFormula>F2 - _xlfn.XLOOKUP(B2, $A:$A, $F:$F)</calculatedColumnFormula>
    </tableColumn>
    <tableColumn id="8" xr3:uid="{8F281C25-A6DB-4FB7-8180-15126D55688A}" name="note" dataDxfId="82"/>
    <tableColumn id="9" xr3:uid="{021510D6-8FD2-4237-ADE9-6E3DB5A69F7C}" name="피처개수" dataDxfId="81"/>
    <tableColumn id="10" xr3:uid="{2661D6B6-9F74-4CF1-BE20-D0C55E467F30}" name="열1" dataDxfId="8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B7F3DD-5459-4E8F-9893-F5EC0633D995}" name="표3" displayName="표3" ref="A4:B36" totalsRowShown="0" headerRowDxfId="79" dataDxfId="78">
  <autoFilter ref="A4:B36" xr:uid="{75B7F3DD-5459-4E8F-9893-F5EC0633D995}"/>
  <sortState xmlns:xlrd2="http://schemas.microsoft.com/office/spreadsheetml/2017/richdata2" ref="A5:B36">
    <sortCondition descending="1" ref="A4:A36"/>
  </sortState>
  <tableColumns count="2">
    <tableColumn id="1" xr3:uid="{D7AD9D77-4549-4D52-B474-1805A88CAD40}" name="열2" dataDxfId="77"/>
    <tableColumn id="2" xr3:uid="{FFF3CEA6-33DB-4614-96E7-6977DD4D7331}" name="열1" dataDxfId="7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A10D9D-E6AE-497B-96FA-5EB50500DD0D}" name="표5" displayName="표5" ref="D4:E43" totalsRowShown="0" headerRowBorderDxfId="75" tableBorderDxfId="74" totalsRowBorderDxfId="73">
  <autoFilter ref="D4:E43" xr:uid="{4DA10D9D-E6AE-497B-96FA-5EB50500DD0D}"/>
  <sortState xmlns:xlrd2="http://schemas.microsoft.com/office/spreadsheetml/2017/richdata2" ref="D5:E43">
    <sortCondition descending="1" ref="D4:D43"/>
  </sortState>
  <tableColumns count="2">
    <tableColumn id="1" xr3:uid="{ED7262F0-BF22-43EA-BF07-073AF3C9816E}" name="열1" dataDxfId="72"/>
    <tableColumn id="2" xr3:uid="{C897FCDE-254C-493D-8BBA-1164654B17D6}" name="열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4C2731-B48A-4A51-B211-E10A11427FDA}" name="표1_38" displayName="표1_38" ref="A1:J31" totalsRowShown="0" dataDxfId="71">
  <autoFilter ref="A1:J31" xr:uid="{664C2731-B48A-4A51-B211-E10A11427FDA}"/>
  <sortState xmlns:xlrd2="http://schemas.microsoft.com/office/spreadsheetml/2017/richdata2" ref="A2:J111">
    <sortCondition ref="A1:A111"/>
  </sortState>
  <tableColumns count="10">
    <tableColumn id="1" xr3:uid="{D6AAB434-B77D-41AA-9ABA-FBAA77A3D006}" name="exp_id" dataDxfId="70"/>
    <tableColumn id="2" xr3:uid="{29A6EC18-F17A-41B6-9CA9-A0B5826BBA6C}" name="base_exp" dataDxfId="69"/>
    <tableColumn id="3" xr3:uid="{DD55D86A-F2BF-462B-AA15-B9C575F146E2}" name="change" dataDxfId="68"/>
    <tableColumn id="4" xr3:uid="{2515CDDF-68D2-4082-A475-B74DE99B0877}" name="CV PR-AUC" dataDxfId="67"/>
    <tableColumn id="5" xr3:uid="{1F546A54-D0BC-47DE-8F65-E823BF1C0B30}" name="CV std" dataDxfId="66"/>
    <tableColumn id="6" xr3:uid="{686F7402-13D2-48AE-B420-E59D726E900A}" name="test PR-AUC" dataDxfId="65"/>
    <tableColumn id="7" xr3:uid="{60D82CBA-0D50-4230-8519-55CB175BF66B}" name="delta" dataDxfId="64">
      <calculatedColumnFormula>F2 - _xlfn.XLOOKUP(B2, $A:$A, $F:$F)</calculatedColumnFormula>
    </tableColumn>
    <tableColumn id="8" xr3:uid="{5E0879E4-1107-453F-A41F-F704D8AE23AA}" name="note" dataDxfId="63"/>
    <tableColumn id="9" xr3:uid="{BCE20150-9FBB-4A1A-BBD1-8661FD3FB856}" name="피처개수" dataDxfId="62"/>
    <tableColumn id="10" xr3:uid="{28D5B22F-C193-405E-A15B-6DB59BA8F0A0}" name="열1" dataDxfId="61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3F5AB9C-0E0F-4E12-917A-050F93245C45}" name="표12" displayName="표12" ref="D1:L11" totalsRowShown="0" headerRowDxfId="22" dataDxfId="9" headerRowBorderDxfId="20" tableBorderDxfId="21" totalsRowBorderDxfId="19">
  <autoFilter ref="D1:L11" xr:uid="{C3F5AB9C-0E0F-4E12-917A-050F93245C45}"/>
  <tableColumns count="9">
    <tableColumn id="1" xr3:uid="{F5E5B6EE-2B73-4E4B-85C9-EAE5784598DD}" name="exp_id" dataDxfId="18"/>
    <tableColumn id="2" xr3:uid="{12C15535-9D34-4992-ACB1-F256F6A4C86F}" name="base_exp" dataDxfId="17"/>
    <tableColumn id="3" xr3:uid="{FB1A9CEA-7523-473A-B023-1A522E96E2E6}" name="change" dataDxfId="16"/>
    <tableColumn id="4" xr3:uid="{0FA84061-3F49-43E7-9AF4-3850C1B16310}" name="CV PR-AUC" dataDxfId="15"/>
    <tableColumn id="5" xr3:uid="{2739B200-F18F-43C0-AC90-927E1A79F8A7}" name="CV std" dataDxfId="14"/>
    <tableColumn id="6" xr3:uid="{583EB801-7C33-412C-BB1D-8CD8AB1EB149}" name="test PR-AUC" dataDxfId="13"/>
    <tableColumn id="7" xr3:uid="{41F30480-4CEE-4D47-9114-061CD6FB75C1}" name="diff" dataDxfId="12"/>
    <tableColumn id="8" xr3:uid="{BED09557-5B82-4641-9D48-5FD859127B56}" name="note" dataDxfId="11"/>
    <tableColumn id="9" xr3:uid="{6E74E8CC-314C-430C-B849-F461240B35AC}" name="피처개수" dataDxfId="1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C7E889-103B-4622-A470-E9914851E7C2}" name="표15" displayName="표15" ref="A1:C50" totalsRowShown="0">
  <autoFilter ref="A1:C50" xr:uid="{BEC7E889-103B-4622-A470-E9914851E7C2}"/>
  <sortState xmlns:xlrd2="http://schemas.microsoft.com/office/spreadsheetml/2017/richdata2" ref="A2:C50">
    <sortCondition ref="A1:A50"/>
  </sortState>
  <tableColumns count="3">
    <tableColumn id="1" xr3:uid="{722EF056-F5E2-4D8E-B9C1-EFF8C1777894}" name="그룹" dataDxfId="1"/>
    <tableColumn id="2" xr3:uid="{7078E728-5376-46F9-94D1-A592F041D2AD}" name="열1"/>
    <tableColumn id="3" xr3:uid="{B69AF18A-163F-4FB7-8E39-B9D7912542EA}" name="열2" dataDxfId="0">
      <calculatedColumnFormula>_xlfn.XLOOKUP(B2,표1[feature_name],표1[설명])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1B3E71-6B3F-4EA2-9F8A-1EFAFD10F924}" name="표8" displayName="표8" ref="A1:I168" totalsRowShown="0" headerRowDxfId="60" headerRowBorderDxfId="59" tableBorderDxfId="58">
  <autoFilter ref="A1:I168" xr:uid="{081B3E71-6B3F-4EA2-9F8A-1EFAFD10F924}"/>
  <sortState xmlns:xlrd2="http://schemas.microsoft.com/office/spreadsheetml/2017/richdata2" ref="A2:I168">
    <sortCondition ref="A1:A168"/>
  </sortState>
  <tableColumns count="9">
    <tableColumn id="1" xr3:uid="{1302F3A7-912C-4059-A7F5-AAFBE2A4D0C5}" name="exp_id" dataDxfId="57"/>
    <tableColumn id="2" xr3:uid="{A4B1E993-FD66-4D4C-8830-C4E4A9986D69}" name="base_exp" dataDxfId="56"/>
    <tableColumn id="3" xr3:uid="{E2EDCAF2-3A42-49FF-BC38-B110CEEA7BC4}" name="change"/>
    <tableColumn id="4" xr3:uid="{78F30C88-884A-44A2-9C8F-007B9C69FC64}" name="CV PR-AUC" dataDxfId="55"/>
    <tableColumn id="5" xr3:uid="{C3CA234A-AD31-4DC0-821D-5499DFF50602}" name="CV std" dataDxfId="54"/>
    <tableColumn id="6" xr3:uid="{37A6C648-CC29-415B-9A12-EFF1C89AB7E4}" name="test PR-AUC" dataDxfId="53"/>
    <tableColumn id="7" xr3:uid="{B343DCDE-CAFE-4230-8709-3DB650F882A3}" name="diff" dataDxfId="52">
      <calculatedColumnFormula>F2 - $F$2</calculatedColumnFormula>
    </tableColumn>
    <tableColumn id="8" xr3:uid="{9CE5EF41-33E8-46EC-83C7-DBB872D7ED4E}" name="note" dataDxfId="51"/>
    <tableColumn id="9" xr3:uid="{BC4075C1-4FC6-4093-A084-D766B395B70C}" name="피처개수" dataDxfId="50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9EA0FE-1566-49D7-A429-CDE00990BE31}" name="표8_10" displayName="표8_10" ref="A1:I168" totalsRowShown="0" headerRowDxfId="41" headerRowBorderDxfId="39" tableBorderDxfId="40">
  <autoFilter ref="A1:I168" xr:uid="{C29EA0FE-1566-49D7-A429-CDE00990BE31}"/>
  <sortState xmlns:xlrd2="http://schemas.microsoft.com/office/spreadsheetml/2017/richdata2" ref="A2:I168">
    <sortCondition ref="A1:A168"/>
  </sortState>
  <tableColumns count="9">
    <tableColumn id="1" xr3:uid="{DDDF77DC-6D74-4ACE-95EB-FA850AEA3AFD}" name="exp_id" dataDxfId="38"/>
    <tableColumn id="2" xr3:uid="{8A24E864-F73A-4E77-98DB-131D355EDC95}" name="base_exp" dataDxfId="37"/>
    <tableColumn id="3" xr3:uid="{11F4DC04-EE89-485D-8FC4-0B9C29E1E3B4}" name="change"/>
    <tableColumn id="5" xr3:uid="{13301730-D571-4B8D-876B-CE326F97A17E}" name="CV PR-AUC" dataDxfId="36"/>
    <tableColumn id="6" xr3:uid="{B661D96E-450E-4932-A6E8-2C1DB7155B35}" name="CV std" dataDxfId="35"/>
    <tableColumn id="7" xr3:uid="{CD17E0D7-40A1-48EA-B2D6-395E5A1B787F}" name="test PR-AUC" dataDxfId="34"/>
    <tableColumn id="8" xr3:uid="{F7909236-8E64-448F-A3C1-7AE78A444426}" name="diff" dataDxfId="33"/>
    <tableColumn id="9" xr3:uid="{78C7B6AE-118F-4821-8263-6E953CD601EC}" name="note" dataDxfId="32"/>
    <tableColumn id="10" xr3:uid="{B7C024A5-1435-4F71-8CE3-C25E1496C943}" name="피처개수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AFE8EB5-9EE5-4F22-8A83-1492F2626A24}" name="표10" displayName="표10" ref="A1:M169" totalsRowShown="0">
  <autoFilter ref="A1:M169" xr:uid="{AAFE8EB5-9EE5-4F22-8A83-1492F2626A24}"/>
  <tableColumns count="13">
    <tableColumn id="1" xr3:uid="{2A555E41-9AA4-4EB6-8BFD-A909586F7354}" name="exp_id"/>
    <tableColumn id="2" xr3:uid="{D587484A-8342-4E44-8677-2B162A477018}" name="base_exp"/>
    <tableColumn id="3" xr3:uid="{12AE1AFE-7C13-4728-9C8B-FDB150A80F72}" name="change"/>
    <tableColumn id="4" xr3:uid="{2487C5DC-80F9-4B4F-8D70-95EBDA8FB1D6}" name="removed"/>
    <tableColumn id="5" xr3:uid="{B4C8F08C-84B1-4747-9F28-A5FA88721138}" name="decision"/>
    <tableColumn id="6" xr3:uid="{378CA8D9-E88C-4157-A54A-4C30ABA8E7C0}" name="top_cand"/>
    <tableColumn id="7" xr3:uid="{B3D8AF5E-50DC-428B-98F1-BD8C65586618}" name="top_cv"/>
    <tableColumn id="8" xr3:uid="{31F2B9E4-994F-4417-914B-F308843A41E9}" name="bot_cand"/>
    <tableColumn id="9" xr3:uid="{064C53B3-C8FB-45E4-8817-BBA348917C73}" name="bot_cv"/>
    <tableColumn id="10" xr3:uid="{3F305027-0891-41A2-A3C1-62BADAD5924E}" name="n_features"/>
    <tableColumn id="11" xr3:uid="{9E0EC416-26BB-4E76-9D1B-92D1A6255A58}" name="CV PR-AUC"/>
    <tableColumn id="12" xr3:uid="{1F2C3B13-066C-4465-A133-FD2133284D63}" name="CV std"/>
    <tableColumn id="13" xr3:uid="{D15AA6B4-9325-4F21-83BD-CCBDA5D79FB1}" name="test PR-AUC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8E365D-BA72-4326-AFD8-0284477AFFB3}" name="표6" displayName="표6" ref="A1:B24" totalsRowShown="0">
  <autoFilter ref="A1:B24" xr:uid="{598E365D-BA72-4326-AFD8-0284477AFFB3}"/>
  <sortState xmlns:xlrd2="http://schemas.microsoft.com/office/spreadsheetml/2017/richdata2" ref="A2:B24">
    <sortCondition ref="B1:B24"/>
  </sortState>
  <tableColumns count="2">
    <tableColumn id="1" xr3:uid="{A664F874-AB06-4CF5-B370-94E8AF7EA067}" name="group" dataDxfId="49"/>
    <tableColumn id="2" xr3:uid="{10E48AAF-D1FD-4B79-9D28-DBF7CEF9A864}" name="대체 불가능성 순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"/>
  <sheetViews>
    <sheetView topLeftCell="A259" zoomScale="85" zoomScaleNormal="85" workbookViewId="0">
      <selection activeCell="B307" sqref="B307"/>
    </sheetView>
  </sheetViews>
  <sheetFormatPr defaultRowHeight="16.5"/>
  <cols>
    <col min="1" max="1" width="22.75" bestFit="1" customWidth="1"/>
    <col min="2" max="2" width="29.25" bestFit="1" customWidth="1"/>
    <col min="3" max="5" width="14.25" bestFit="1" customWidth="1"/>
    <col min="6" max="7" width="13.375" bestFit="1" customWidth="1"/>
    <col min="8" max="8" width="14.25" bestFit="1" customWidth="1"/>
    <col min="9" max="9" width="13.375" bestFit="1" customWidth="1"/>
    <col min="10" max="10" width="10.125" style="1" bestFit="1" customWidth="1"/>
    <col min="11" max="11" width="20.625" bestFit="1" customWidth="1"/>
    <col min="12" max="12" width="43.5" bestFit="1" customWidth="1"/>
    <col min="13" max="13" width="80.625" bestFit="1" customWidth="1"/>
    <col min="14" max="14" width="149.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340</v>
      </c>
      <c r="L1" t="s">
        <v>1493</v>
      </c>
      <c r="M1" t="s">
        <v>1491</v>
      </c>
      <c r="N1" t="s">
        <v>545</v>
      </c>
    </row>
    <row r="2" spans="1:14">
      <c r="A2" t="s">
        <v>52</v>
      </c>
      <c r="B2" t="s">
        <v>60</v>
      </c>
      <c r="C2">
        <v>-1260030</v>
      </c>
      <c r="D2">
        <v>0</v>
      </c>
      <c r="E2">
        <v>0</v>
      </c>
      <c r="F2">
        <v>0</v>
      </c>
      <c r="G2">
        <v>8296857</v>
      </c>
      <c r="H2">
        <v>302.0313720703125</v>
      </c>
      <c r="I2">
        <v>32905.78125</v>
      </c>
      <c r="J2" s="1">
        <v>5.771210116159442E-3</v>
      </c>
      <c r="L2" t="s">
        <v>844</v>
      </c>
      <c r="M2" s="83" t="s">
        <v>1358</v>
      </c>
      <c r="N2" t="s">
        <v>845</v>
      </c>
    </row>
    <row r="3" spans="1:14">
      <c r="A3" t="s">
        <v>328</v>
      </c>
      <c r="B3" t="s">
        <v>330</v>
      </c>
      <c r="C3">
        <v>0</v>
      </c>
      <c r="D3">
        <v>174.12016296386719</v>
      </c>
      <c r="E3">
        <v>187.85783386230469</v>
      </c>
      <c r="F3">
        <v>205.74583435058591</v>
      </c>
      <c r="G3">
        <v>315.2786865234375</v>
      </c>
      <c r="H3">
        <v>184.99760437011719</v>
      </c>
      <c r="I3">
        <v>30.792434692382809</v>
      </c>
      <c r="J3" s="1">
        <v>5.748272312895164E-2</v>
      </c>
      <c r="L3" t="s">
        <v>846</v>
      </c>
      <c r="M3" s="83" t="s">
        <v>1238</v>
      </c>
      <c r="N3" t="s">
        <v>847</v>
      </c>
    </row>
    <row r="4" spans="1:14">
      <c r="A4" t="s">
        <v>112</v>
      </c>
      <c r="B4" t="s">
        <v>124</v>
      </c>
      <c r="C4">
        <v>0</v>
      </c>
      <c r="D4">
        <v>0</v>
      </c>
      <c r="E4">
        <v>0</v>
      </c>
      <c r="F4">
        <v>0</v>
      </c>
      <c r="G4">
        <v>1</v>
      </c>
      <c r="H4">
        <v>2.6204649578323509E-5</v>
      </c>
      <c r="I4">
        <v>5.1189843761054836E-3</v>
      </c>
      <c r="J4" s="1">
        <v>2.6466696074106681E-3</v>
      </c>
      <c r="M4" s="83"/>
    </row>
    <row r="5" spans="1:14">
      <c r="A5" t="s">
        <v>27</v>
      </c>
      <c r="B5" t="s">
        <v>46</v>
      </c>
      <c r="C5">
        <v>0</v>
      </c>
      <c r="D5">
        <v>0</v>
      </c>
      <c r="E5">
        <v>0</v>
      </c>
      <c r="F5">
        <v>0</v>
      </c>
      <c r="G5">
        <v>267384</v>
      </c>
      <c r="H5">
        <v>4.1334834098815918</v>
      </c>
      <c r="I5">
        <v>541.91558837890625</v>
      </c>
      <c r="J5" s="1">
        <v>0.1662770180855756</v>
      </c>
      <c r="L5" t="s">
        <v>848</v>
      </c>
      <c r="M5" t="s">
        <v>1468</v>
      </c>
      <c r="N5" t="s">
        <v>849</v>
      </c>
    </row>
    <row r="6" spans="1:14">
      <c r="A6" t="s">
        <v>112</v>
      </c>
      <c r="B6" t="s">
        <v>121</v>
      </c>
      <c r="C6">
        <v>0</v>
      </c>
      <c r="D6">
        <v>0</v>
      </c>
      <c r="E6">
        <v>0</v>
      </c>
      <c r="F6">
        <v>0</v>
      </c>
      <c r="G6">
        <v>1</v>
      </c>
      <c r="H6">
        <v>1.528604558735538E-4</v>
      </c>
      <c r="I6">
        <v>1.2362738857440211E-2</v>
      </c>
      <c r="J6" s="1">
        <v>5.0433759741215223E-3</v>
      </c>
      <c r="L6" t="s">
        <v>850</v>
      </c>
      <c r="M6" t="s">
        <v>1455</v>
      </c>
      <c r="N6" t="s">
        <v>851</v>
      </c>
    </row>
    <row r="7" spans="1:14">
      <c r="A7" t="s">
        <v>27</v>
      </c>
      <c r="B7" t="s">
        <v>33</v>
      </c>
      <c r="C7">
        <v>-158.71809387207031</v>
      </c>
      <c r="D7">
        <v>0</v>
      </c>
      <c r="E7">
        <v>0</v>
      </c>
      <c r="F7">
        <v>0</v>
      </c>
      <c r="G7">
        <v>421.74481201171881</v>
      </c>
      <c r="H7">
        <v>1.8952187150716782E-2</v>
      </c>
      <c r="I7">
        <v>1.618776202201843</v>
      </c>
      <c r="J7" s="1">
        <v>0.35175121305690338</v>
      </c>
      <c r="L7" t="s">
        <v>854</v>
      </c>
      <c r="M7" t="s">
        <v>1465</v>
      </c>
      <c r="N7" t="s">
        <v>853</v>
      </c>
    </row>
    <row r="8" spans="1:14">
      <c r="A8" t="s">
        <v>191</v>
      </c>
      <c r="B8" t="s">
        <v>192</v>
      </c>
      <c r="C8">
        <v>0</v>
      </c>
      <c r="D8">
        <v>1</v>
      </c>
      <c r="E8">
        <v>1</v>
      </c>
      <c r="F8">
        <v>1</v>
      </c>
      <c r="G8">
        <v>48161</v>
      </c>
      <c r="H8">
        <v>1.303687572479248</v>
      </c>
      <c r="I8">
        <v>83.817779541015625</v>
      </c>
      <c r="J8" s="1">
        <v>0.1159770621967358</v>
      </c>
      <c r="L8" t="s">
        <v>852</v>
      </c>
      <c r="M8" t="s">
        <v>1485</v>
      </c>
      <c r="N8" t="s">
        <v>855</v>
      </c>
    </row>
    <row r="9" spans="1:14" hidden="1">
      <c r="A9" t="s">
        <v>27</v>
      </c>
      <c r="B9" t="s">
        <v>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">
        <v>0</v>
      </c>
      <c r="K9" t="s">
        <v>342</v>
      </c>
      <c r="L9" t="s">
        <v>857</v>
      </c>
      <c r="M9" t="s">
        <v>1467</v>
      </c>
      <c r="N9" t="s">
        <v>856</v>
      </c>
    </row>
    <row r="10" spans="1:14">
      <c r="A10" t="s">
        <v>108</v>
      </c>
      <c r="B10" t="s">
        <v>110</v>
      </c>
      <c r="C10">
        <v>0</v>
      </c>
      <c r="D10">
        <v>0</v>
      </c>
      <c r="E10">
        <v>0</v>
      </c>
      <c r="F10">
        <v>0</v>
      </c>
      <c r="G10">
        <v>428</v>
      </c>
      <c r="H10">
        <v>1.6217766096815469E-3</v>
      </c>
      <c r="I10">
        <v>0.72415250539779663</v>
      </c>
      <c r="J10" s="1">
        <v>5.8814880164681504E-4</v>
      </c>
      <c r="L10" t="s">
        <v>858</v>
      </c>
      <c r="M10" s="83" t="s">
        <v>1388</v>
      </c>
      <c r="N10" t="s">
        <v>859</v>
      </c>
    </row>
    <row r="11" spans="1:14">
      <c r="A11" t="s">
        <v>338</v>
      </c>
      <c r="B11" t="s">
        <v>339</v>
      </c>
      <c r="C11">
        <v>-3088</v>
      </c>
      <c r="D11">
        <v>0</v>
      </c>
      <c r="E11">
        <v>0</v>
      </c>
      <c r="F11">
        <v>0</v>
      </c>
      <c r="G11">
        <v>45120</v>
      </c>
      <c r="H11">
        <v>9.5268458127975464E-2</v>
      </c>
      <c r="I11">
        <v>57.247455596923828</v>
      </c>
      <c r="J11" s="1">
        <v>2.6466696074106681E-3</v>
      </c>
      <c r="L11" t="s">
        <v>860</v>
      </c>
      <c r="M11" t="s">
        <v>1388</v>
      </c>
      <c r="N11" t="s">
        <v>861</v>
      </c>
    </row>
    <row r="12" spans="1:14">
      <c r="A12" t="s">
        <v>80</v>
      </c>
      <c r="B12" t="s">
        <v>81</v>
      </c>
      <c r="C12">
        <v>0</v>
      </c>
      <c r="D12">
        <v>0.69134658575057983</v>
      </c>
      <c r="E12">
        <v>0.82484835386276245</v>
      </c>
      <c r="F12">
        <v>0.91481977701187134</v>
      </c>
      <c r="G12">
        <v>970.7529296875</v>
      </c>
      <c r="H12">
        <v>0.76744121313095093</v>
      </c>
      <c r="I12">
        <v>1.231538057327271</v>
      </c>
      <c r="J12" s="1">
        <v>9.0355830024996364E-2</v>
      </c>
      <c r="L12" t="s">
        <v>862</v>
      </c>
      <c r="M12" s="83" t="s">
        <v>1368</v>
      </c>
      <c r="N12" t="s">
        <v>863</v>
      </c>
    </row>
    <row r="13" spans="1:14">
      <c r="A13" t="s">
        <v>328</v>
      </c>
      <c r="B13" t="s">
        <v>332</v>
      </c>
      <c r="C13">
        <v>0</v>
      </c>
      <c r="D13">
        <v>0</v>
      </c>
      <c r="E13">
        <v>0</v>
      </c>
      <c r="F13">
        <v>0</v>
      </c>
      <c r="G13">
        <v>1</v>
      </c>
      <c r="H13">
        <v>1.4291724717244551E-2</v>
      </c>
      <c r="I13">
        <v>0.11869074029012119</v>
      </c>
      <c r="J13" s="1">
        <v>1.496985737391565E-2</v>
      </c>
      <c r="L13" t="s">
        <v>867</v>
      </c>
      <c r="M13" s="83" t="s">
        <v>1236</v>
      </c>
      <c r="N13" t="s">
        <v>866</v>
      </c>
    </row>
    <row r="14" spans="1:14">
      <c r="A14" t="s">
        <v>328</v>
      </c>
      <c r="B14" t="s">
        <v>333</v>
      </c>
      <c r="C14">
        <v>0</v>
      </c>
      <c r="D14">
        <v>0</v>
      </c>
      <c r="E14">
        <v>0</v>
      </c>
      <c r="F14">
        <v>0</v>
      </c>
      <c r="G14">
        <v>1</v>
      </c>
      <c r="H14">
        <v>2.932300287814401E-2</v>
      </c>
      <c r="I14">
        <v>0.16871042000268399</v>
      </c>
      <c r="J14" s="1">
        <v>1.107484193500952E-2</v>
      </c>
      <c r="L14" t="s">
        <v>869</v>
      </c>
      <c r="M14" s="83" t="s">
        <v>1236</v>
      </c>
      <c r="N14" t="s">
        <v>868</v>
      </c>
    </row>
    <row r="15" spans="1:14" hidden="1">
      <c r="A15" t="s">
        <v>328</v>
      </c>
      <c r="B15" t="s">
        <v>334</v>
      </c>
      <c r="C15">
        <v>0</v>
      </c>
      <c r="D15">
        <v>0</v>
      </c>
      <c r="E15">
        <v>0</v>
      </c>
      <c r="F15">
        <v>0</v>
      </c>
      <c r="G15">
        <v>1</v>
      </c>
      <c r="H15">
        <v>6.8685298172516864E-3</v>
      </c>
      <c r="I15">
        <v>8.2591543429313116E-2</v>
      </c>
      <c r="J15" s="1">
        <v>8.9530951330686337E-3</v>
      </c>
      <c r="K15" t="s">
        <v>341</v>
      </c>
      <c r="L15" t="s">
        <v>865</v>
      </c>
      <c r="M15" s="83" t="s">
        <v>1236</v>
      </c>
      <c r="N15" t="s">
        <v>864</v>
      </c>
    </row>
    <row r="16" spans="1:14">
      <c r="A16" t="s">
        <v>191</v>
      </c>
      <c r="B16" t="s">
        <v>193</v>
      </c>
      <c r="C16">
        <v>0</v>
      </c>
      <c r="D16">
        <v>0</v>
      </c>
      <c r="E16">
        <v>0</v>
      </c>
      <c r="F16">
        <v>0</v>
      </c>
      <c r="G16">
        <v>1401626880</v>
      </c>
      <c r="H16">
        <v>22652.93359375</v>
      </c>
      <c r="I16">
        <v>3154202.75</v>
      </c>
      <c r="J16" s="1">
        <v>7.181885016909284E-2</v>
      </c>
      <c r="L16" t="s">
        <v>870</v>
      </c>
      <c r="M16" t="s">
        <v>1484</v>
      </c>
      <c r="N16" t="s">
        <v>871</v>
      </c>
    </row>
    <row r="17" spans="1:14" hidden="1">
      <c r="A17" t="s">
        <v>108</v>
      </c>
      <c r="B17" t="s">
        <v>111</v>
      </c>
      <c r="C17">
        <v>0</v>
      </c>
      <c r="D17">
        <v>0</v>
      </c>
      <c r="E17">
        <v>0</v>
      </c>
      <c r="F17">
        <v>0</v>
      </c>
      <c r="G17">
        <v>16.02426719665527</v>
      </c>
      <c r="H17">
        <v>1.0057064355351029E-4</v>
      </c>
      <c r="I17">
        <v>3.7483401596546173E-2</v>
      </c>
      <c r="J17" s="1">
        <v>7.3518600205435547E-6</v>
      </c>
      <c r="K17" t="s">
        <v>341</v>
      </c>
      <c r="L17" t="s">
        <v>872</v>
      </c>
      <c r="M17" s="83" t="s">
        <v>1387</v>
      </c>
      <c r="N17" t="s">
        <v>873</v>
      </c>
    </row>
    <row r="18" spans="1:14">
      <c r="A18" t="s">
        <v>10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5</v>
      </c>
      <c r="H18">
        <v>4.3266788125038147E-3</v>
      </c>
      <c r="I18">
        <v>0.1049172580242157</v>
      </c>
      <c r="J18" s="1">
        <v>0.1552212909866196</v>
      </c>
      <c r="M18" s="83"/>
    </row>
    <row r="19" spans="1:14">
      <c r="A19" t="s">
        <v>19</v>
      </c>
      <c r="B19" t="s">
        <v>26</v>
      </c>
      <c r="C19">
        <v>0</v>
      </c>
      <c r="D19">
        <v>1</v>
      </c>
      <c r="E19">
        <v>1</v>
      </c>
      <c r="F19">
        <v>1</v>
      </c>
      <c r="G19">
        <v>57</v>
      </c>
      <c r="H19">
        <v>0.99209636449813843</v>
      </c>
      <c r="I19">
        <v>0.11175026744604109</v>
      </c>
      <c r="J19" s="1">
        <v>2.5702102631965889E-3</v>
      </c>
      <c r="L19" t="s">
        <v>874</v>
      </c>
      <c r="M19" t="s">
        <v>1483</v>
      </c>
      <c r="N19" t="s">
        <v>875</v>
      </c>
    </row>
    <row r="20" spans="1:14">
      <c r="A20" t="s">
        <v>65</v>
      </c>
      <c r="B20" t="s">
        <v>69</v>
      </c>
      <c r="C20">
        <v>0</v>
      </c>
      <c r="D20">
        <v>0.79193782806396484</v>
      </c>
      <c r="E20">
        <v>0.98474031686782837</v>
      </c>
      <c r="F20">
        <v>1.1592966318130491</v>
      </c>
      <c r="G20">
        <v>6702660096</v>
      </c>
      <c r="H20">
        <v>192114.21875</v>
      </c>
      <c r="I20">
        <v>22791160</v>
      </c>
      <c r="J20" s="1">
        <v>2.2834877223937618E-2</v>
      </c>
      <c r="L20" t="s">
        <v>876</v>
      </c>
      <c r="M20" s="83" t="s">
        <v>1343</v>
      </c>
      <c r="N20" t="s">
        <v>877</v>
      </c>
    </row>
    <row r="21" spans="1:14">
      <c r="A21" t="s">
        <v>19</v>
      </c>
      <c r="B21" t="s">
        <v>20</v>
      </c>
      <c r="C21">
        <v>5.6892531574703753E-5</v>
      </c>
      <c r="D21">
        <v>1</v>
      </c>
      <c r="E21">
        <v>1</v>
      </c>
      <c r="F21">
        <v>1</v>
      </c>
      <c r="G21">
        <v>17721</v>
      </c>
      <c r="H21">
        <v>1.6017605066299441</v>
      </c>
      <c r="I21">
        <v>48.256996154785163</v>
      </c>
      <c r="J21" s="1">
        <v>0.32303484781649761</v>
      </c>
      <c r="L21" t="s">
        <v>878</v>
      </c>
      <c r="M21" t="s">
        <v>1483</v>
      </c>
      <c r="N21" t="s">
        <v>879</v>
      </c>
    </row>
    <row r="22" spans="1:14">
      <c r="A22" t="s">
        <v>191</v>
      </c>
      <c r="B22" t="s">
        <v>195</v>
      </c>
      <c r="C22">
        <v>0</v>
      </c>
      <c r="D22">
        <v>0</v>
      </c>
      <c r="E22">
        <v>0</v>
      </c>
      <c r="F22">
        <v>0</v>
      </c>
      <c r="G22">
        <v>1</v>
      </c>
      <c r="H22">
        <v>7.1334879407658448E-5</v>
      </c>
      <c r="I22">
        <v>8.4457027289437502E-3</v>
      </c>
      <c r="J22" s="1">
        <v>5.5712395235995027E-3</v>
      </c>
      <c r="M22" s="83"/>
    </row>
    <row r="23" spans="1:14">
      <c r="A23" t="s">
        <v>183</v>
      </c>
      <c r="B23" t="s">
        <v>189</v>
      </c>
      <c r="C23">
        <v>0</v>
      </c>
      <c r="D23">
        <v>0</v>
      </c>
      <c r="E23">
        <v>0</v>
      </c>
      <c r="F23">
        <v>0</v>
      </c>
      <c r="G23">
        <v>576</v>
      </c>
      <c r="H23">
        <v>2.6123124001857619E-2</v>
      </c>
      <c r="I23">
        <v>1.7135893556034281</v>
      </c>
      <c r="J23" s="1">
        <v>7.6431407146007935E-2</v>
      </c>
      <c r="L23" t="s">
        <v>886</v>
      </c>
      <c r="M23" s="83" t="s">
        <v>1355</v>
      </c>
      <c r="N23" t="s">
        <v>885</v>
      </c>
    </row>
    <row r="24" spans="1:14" hidden="1">
      <c r="A24" t="s">
        <v>183</v>
      </c>
      <c r="B24" t="s">
        <v>188</v>
      </c>
      <c r="C24">
        <v>-12</v>
      </c>
      <c r="D24">
        <v>0</v>
      </c>
      <c r="E24">
        <v>0</v>
      </c>
      <c r="F24">
        <v>0</v>
      </c>
      <c r="G24">
        <v>576</v>
      </c>
      <c r="H24">
        <v>3.3988885581493378E-2</v>
      </c>
      <c r="I24">
        <v>2.0125033855438228</v>
      </c>
      <c r="J24" s="1">
        <v>7.6619614762534871E-2</v>
      </c>
      <c r="K24" t="s">
        <v>344</v>
      </c>
      <c r="L24" t="s">
        <v>888</v>
      </c>
      <c r="M24" s="83" t="s">
        <v>1354</v>
      </c>
      <c r="N24" t="s">
        <v>887</v>
      </c>
    </row>
    <row r="25" spans="1:14">
      <c r="A25" t="s">
        <v>183</v>
      </c>
      <c r="B25" t="s">
        <v>186</v>
      </c>
      <c r="C25">
        <v>0</v>
      </c>
      <c r="D25">
        <v>0</v>
      </c>
      <c r="E25">
        <v>0</v>
      </c>
      <c r="F25">
        <v>0</v>
      </c>
      <c r="G25">
        <v>611</v>
      </c>
      <c r="H25">
        <v>4.9202141211033321E-2</v>
      </c>
      <c r="I25">
        <v>2.537833141148675</v>
      </c>
      <c r="J25" s="1">
        <v>0.10133950889575059</v>
      </c>
      <c r="L25" t="s">
        <v>890</v>
      </c>
      <c r="M25" s="83" t="s">
        <v>1353</v>
      </c>
      <c r="N25" t="s">
        <v>889</v>
      </c>
    </row>
    <row r="26" spans="1:14" hidden="1">
      <c r="A26" t="s">
        <v>183</v>
      </c>
      <c r="B26" t="s">
        <v>185</v>
      </c>
      <c r="C26">
        <v>-22</v>
      </c>
      <c r="D26">
        <v>0</v>
      </c>
      <c r="E26">
        <v>0</v>
      </c>
      <c r="F26">
        <v>0</v>
      </c>
      <c r="G26">
        <v>950</v>
      </c>
      <c r="H26">
        <v>6.7447856068611145E-2</v>
      </c>
      <c r="I26">
        <v>3.4594078063964839</v>
      </c>
      <c r="J26" s="1">
        <v>0.10175856491692389</v>
      </c>
      <c r="K26" t="s">
        <v>344</v>
      </c>
      <c r="L26" t="s">
        <v>892</v>
      </c>
      <c r="M26" s="83" t="s">
        <v>1352</v>
      </c>
      <c r="N26" t="s">
        <v>891</v>
      </c>
    </row>
    <row r="27" spans="1:14">
      <c r="A27" t="s">
        <v>183</v>
      </c>
      <c r="B27" t="s">
        <v>190</v>
      </c>
      <c r="C27">
        <v>-10</v>
      </c>
      <c r="D27">
        <v>0</v>
      </c>
      <c r="E27">
        <v>0</v>
      </c>
      <c r="F27">
        <v>0</v>
      </c>
      <c r="G27">
        <v>106</v>
      </c>
      <c r="H27">
        <v>2.8708021497224701E-3</v>
      </c>
      <c r="I27">
        <v>0.31080087551162339</v>
      </c>
      <c r="J27" s="1">
        <v>1.5497948892344021E-2</v>
      </c>
      <c r="L27" t="s">
        <v>894</v>
      </c>
      <c r="M27" s="83" t="s">
        <v>1356</v>
      </c>
      <c r="N27" t="s">
        <v>893</v>
      </c>
    </row>
    <row r="28" spans="1:14">
      <c r="A28" t="s">
        <v>112</v>
      </c>
      <c r="B28" t="s">
        <v>115</v>
      </c>
      <c r="C28">
        <v>0</v>
      </c>
      <c r="D28">
        <v>0</v>
      </c>
      <c r="E28">
        <v>0</v>
      </c>
      <c r="F28">
        <v>0</v>
      </c>
      <c r="G28">
        <v>66</v>
      </c>
      <c r="H28">
        <v>2.0352277839164601E-3</v>
      </c>
      <c r="I28">
        <v>0.23710031536280601</v>
      </c>
      <c r="J28" s="1">
        <v>1.686663725922655E-2</v>
      </c>
      <c r="L28" t="s">
        <v>905</v>
      </c>
      <c r="M28" t="s">
        <v>1457</v>
      </c>
      <c r="N28" t="s">
        <v>885</v>
      </c>
    </row>
    <row r="29" spans="1:14" hidden="1">
      <c r="A29" t="s">
        <v>112</v>
      </c>
      <c r="B29" t="s">
        <v>116</v>
      </c>
      <c r="C29">
        <v>0</v>
      </c>
      <c r="D29">
        <v>0</v>
      </c>
      <c r="E29">
        <v>0</v>
      </c>
      <c r="F29">
        <v>0</v>
      </c>
      <c r="G29">
        <v>100</v>
      </c>
      <c r="H29">
        <v>3.2086137216538191E-3</v>
      </c>
      <c r="I29">
        <v>0.371461421251297</v>
      </c>
      <c r="J29" s="1">
        <v>1.686663725922655E-2</v>
      </c>
      <c r="K29" t="s">
        <v>344</v>
      </c>
      <c r="L29" t="s">
        <v>906</v>
      </c>
      <c r="M29" t="s">
        <v>1456</v>
      </c>
      <c r="N29" t="s">
        <v>887</v>
      </c>
    </row>
    <row r="30" spans="1:14">
      <c r="A30" t="s">
        <v>112</v>
      </c>
      <c r="B30" t="s">
        <v>123</v>
      </c>
      <c r="C30">
        <v>0</v>
      </c>
      <c r="D30">
        <v>0</v>
      </c>
      <c r="E30">
        <v>0</v>
      </c>
      <c r="F30">
        <v>0</v>
      </c>
      <c r="G30">
        <v>1</v>
      </c>
      <c r="H30">
        <v>5.0953485291184609E-5</v>
      </c>
      <c r="I30">
        <v>7.1379943407542702E-3</v>
      </c>
      <c r="J30" s="1">
        <v>4.700779297162172E-3</v>
      </c>
      <c r="L30" t="s">
        <v>895</v>
      </c>
      <c r="M30" t="s">
        <v>1454</v>
      </c>
      <c r="N30" t="s">
        <v>896</v>
      </c>
    </row>
    <row r="31" spans="1:14">
      <c r="A31" t="s">
        <v>112</v>
      </c>
      <c r="B31" t="s">
        <v>119</v>
      </c>
      <c r="C31">
        <v>0</v>
      </c>
      <c r="D31">
        <v>0</v>
      </c>
      <c r="E31">
        <v>0</v>
      </c>
      <c r="F31">
        <v>0</v>
      </c>
      <c r="G31">
        <v>66</v>
      </c>
      <c r="H31">
        <v>9.8995342851444378E-4</v>
      </c>
      <c r="I31">
        <v>0.18362633207712539</v>
      </c>
      <c r="J31" s="1">
        <v>8.8163505366857242E-3</v>
      </c>
      <c r="L31" t="s">
        <v>898</v>
      </c>
      <c r="M31" t="s">
        <v>1461</v>
      </c>
      <c r="N31" t="s">
        <v>897</v>
      </c>
    </row>
    <row r="32" spans="1:14" hidden="1">
      <c r="A32" t="s">
        <v>112</v>
      </c>
      <c r="B32" t="s">
        <v>120</v>
      </c>
      <c r="C32">
        <v>0</v>
      </c>
      <c r="D32">
        <v>0</v>
      </c>
      <c r="E32">
        <v>0</v>
      </c>
      <c r="F32">
        <v>0</v>
      </c>
      <c r="G32">
        <v>73</v>
      </c>
      <c r="H32">
        <v>1.136990613304079E-3</v>
      </c>
      <c r="I32">
        <v>0.20734128355979919</v>
      </c>
      <c r="J32" s="1">
        <v>8.8163505366857242E-3</v>
      </c>
      <c r="K32" t="s">
        <v>344</v>
      </c>
      <c r="L32" t="s">
        <v>900</v>
      </c>
      <c r="M32" t="s">
        <v>1460</v>
      </c>
      <c r="N32" t="s">
        <v>899</v>
      </c>
    </row>
    <row r="33" spans="1:14">
      <c r="A33" t="s">
        <v>112</v>
      </c>
      <c r="B33" t="s">
        <v>117</v>
      </c>
      <c r="C33">
        <v>0</v>
      </c>
      <c r="D33">
        <v>0</v>
      </c>
      <c r="E33">
        <v>0</v>
      </c>
      <c r="F33">
        <v>0</v>
      </c>
      <c r="G33">
        <v>66</v>
      </c>
      <c r="H33">
        <v>1.4791068873098159E-3</v>
      </c>
      <c r="I33">
        <v>0.21226923612008081</v>
      </c>
      <c r="J33" s="1">
        <v>1.203499485369797E-2</v>
      </c>
      <c r="L33" t="s">
        <v>902</v>
      </c>
      <c r="M33" t="s">
        <v>1459</v>
      </c>
      <c r="N33" t="s">
        <v>901</v>
      </c>
    </row>
    <row r="34" spans="1:14" hidden="1">
      <c r="A34" t="s">
        <v>112</v>
      </c>
      <c r="B34" t="s">
        <v>118</v>
      </c>
      <c r="C34">
        <v>0</v>
      </c>
      <c r="D34">
        <v>0</v>
      </c>
      <c r="E34">
        <v>0</v>
      </c>
      <c r="F34">
        <v>0</v>
      </c>
      <c r="G34">
        <v>88</v>
      </c>
      <c r="H34">
        <v>2.023581182584167E-3</v>
      </c>
      <c r="I34">
        <v>0.28064456582069403</v>
      </c>
      <c r="J34" s="1">
        <v>1.203499485369797E-2</v>
      </c>
      <c r="K34" t="s">
        <v>344</v>
      </c>
      <c r="L34" t="s">
        <v>904</v>
      </c>
      <c r="M34" t="s">
        <v>1458</v>
      </c>
      <c r="N34" t="s">
        <v>903</v>
      </c>
    </row>
    <row r="35" spans="1:14" hidden="1">
      <c r="A35" t="s">
        <v>112</v>
      </c>
      <c r="B35" t="s">
        <v>122</v>
      </c>
      <c r="C35">
        <v>0</v>
      </c>
      <c r="D35">
        <v>0</v>
      </c>
      <c r="E35">
        <v>0</v>
      </c>
      <c r="F35">
        <v>0</v>
      </c>
      <c r="G35">
        <v>66</v>
      </c>
      <c r="H35">
        <v>4.7748756328546712E-4</v>
      </c>
      <c r="I35">
        <v>0.1277193811673939</v>
      </c>
      <c r="J35" s="1">
        <v>4.7405067957598801E-3</v>
      </c>
      <c r="K35" t="s">
        <v>344</v>
      </c>
      <c r="L35" t="s">
        <v>908</v>
      </c>
      <c r="M35" t="s">
        <v>1463</v>
      </c>
      <c r="N35" t="s">
        <v>907</v>
      </c>
    </row>
    <row r="36" spans="1:14">
      <c r="A36" t="s">
        <v>10</v>
      </c>
      <c r="B36" t="s">
        <v>11</v>
      </c>
      <c r="C36">
        <v>0</v>
      </c>
      <c r="D36">
        <v>0</v>
      </c>
      <c r="E36">
        <v>0</v>
      </c>
      <c r="F36">
        <v>0</v>
      </c>
      <c r="G36">
        <v>2311</v>
      </c>
      <c r="H36">
        <v>0.13006678223609919</v>
      </c>
      <c r="I36">
        <v>10.41827487945557</v>
      </c>
      <c r="J36" s="1">
        <v>0.24629907366563741</v>
      </c>
      <c r="L36" t="s">
        <v>910</v>
      </c>
      <c r="M36" s="83" t="s">
        <v>1342</v>
      </c>
      <c r="N36" t="s">
        <v>909</v>
      </c>
    </row>
    <row r="37" spans="1:14">
      <c r="A37" t="s">
        <v>27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490</v>
      </c>
      <c r="H37">
        <v>4.8450941256454723E-2</v>
      </c>
      <c r="I37">
        <v>2.2356025848077459</v>
      </c>
      <c r="J37" s="1">
        <v>0.24629907366563741</v>
      </c>
      <c r="L37" t="s">
        <v>911</v>
      </c>
      <c r="M37" s="83" t="s">
        <v>1347</v>
      </c>
      <c r="N37" t="s">
        <v>885</v>
      </c>
    </row>
    <row r="38" spans="1:14">
      <c r="A38" t="s">
        <v>27</v>
      </c>
      <c r="B38" t="s">
        <v>44</v>
      </c>
      <c r="C38">
        <v>-4</v>
      </c>
      <c r="D38">
        <v>0</v>
      </c>
      <c r="E38">
        <v>0</v>
      </c>
      <c r="F38">
        <v>0</v>
      </c>
      <c r="G38">
        <v>2311</v>
      </c>
      <c r="H38">
        <v>0.1298192888498306</v>
      </c>
      <c r="I38">
        <v>10.418169021606451</v>
      </c>
      <c r="J38" s="1">
        <v>0.2463520070577857</v>
      </c>
      <c r="L38" t="s">
        <v>912</v>
      </c>
      <c r="M38" s="83" t="s">
        <v>1346</v>
      </c>
      <c r="N38" t="s">
        <v>887</v>
      </c>
    </row>
    <row r="39" spans="1:14">
      <c r="A39" t="s">
        <v>27</v>
      </c>
      <c r="B39" t="s">
        <v>37</v>
      </c>
      <c r="C39">
        <v>0</v>
      </c>
      <c r="D39">
        <v>0</v>
      </c>
      <c r="E39">
        <v>0</v>
      </c>
      <c r="F39">
        <v>0</v>
      </c>
      <c r="G39">
        <v>490</v>
      </c>
      <c r="H39">
        <v>6.4227596116470928E-2</v>
      </c>
      <c r="I39">
        <v>2.515013705591608</v>
      </c>
      <c r="J39" s="1">
        <v>0.29835318335538891</v>
      </c>
      <c r="L39" t="s">
        <v>913</v>
      </c>
      <c r="M39" t="s">
        <v>1478</v>
      </c>
      <c r="N39" t="s">
        <v>889</v>
      </c>
    </row>
    <row r="40" spans="1:14">
      <c r="A40" t="s">
        <v>27</v>
      </c>
      <c r="B40" t="s">
        <v>36</v>
      </c>
      <c r="C40">
        <v>-4</v>
      </c>
      <c r="D40">
        <v>0</v>
      </c>
      <c r="E40">
        <v>0</v>
      </c>
      <c r="F40">
        <v>0</v>
      </c>
      <c r="G40">
        <v>3514</v>
      </c>
      <c r="H40">
        <v>0.18497571349143979</v>
      </c>
      <c r="I40">
        <v>14.127913475036619</v>
      </c>
      <c r="J40" s="1">
        <v>0.29849139832377591</v>
      </c>
      <c r="L40" t="s">
        <v>914</v>
      </c>
      <c r="M40" t="s">
        <v>1477</v>
      </c>
      <c r="N40" t="s">
        <v>891</v>
      </c>
    </row>
    <row r="41" spans="1:14">
      <c r="A41" t="s">
        <v>196</v>
      </c>
      <c r="B41" t="s">
        <v>197</v>
      </c>
      <c r="C41">
        <v>0</v>
      </c>
      <c r="D41">
        <v>0</v>
      </c>
      <c r="E41">
        <v>0</v>
      </c>
      <c r="F41">
        <v>0</v>
      </c>
      <c r="G41">
        <v>1</v>
      </c>
      <c r="H41">
        <v>3.8389811632243948E-2</v>
      </c>
      <c r="I41">
        <v>0.19213559726931689</v>
      </c>
      <c r="J41" s="1">
        <v>0.45887516541685047</v>
      </c>
      <c r="L41" t="s">
        <v>916</v>
      </c>
      <c r="M41" t="s">
        <v>1489</v>
      </c>
      <c r="N41" t="s">
        <v>915</v>
      </c>
    </row>
    <row r="42" spans="1:14">
      <c r="A42" t="s">
        <v>335</v>
      </c>
      <c r="B42" t="s">
        <v>336</v>
      </c>
      <c r="C42">
        <v>-1</v>
      </c>
      <c r="D42">
        <v>-1</v>
      </c>
      <c r="E42">
        <v>-1</v>
      </c>
      <c r="F42">
        <v>-1</v>
      </c>
      <c r="G42">
        <v>2704</v>
      </c>
      <c r="H42">
        <v>22.1804510402518</v>
      </c>
      <c r="I42">
        <v>152.3111162822801</v>
      </c>
      <c r="J42" s="1">
        <v>0.45589766210851351</v>
      </c>
      <c r="L42" t="s">
        <v>1497</v>
      </c>
      <c r="M42" t="s">
        <v>1487</v>
      </c>
      <c r="N42" t="s">
        <v>917</v>
      </c>
    </row>
    <row r="43" spans="1:14">
      <c r="A43" t="s">
        <v>27</v>
      </c>
      <c r="B43" t="s">
        <v>49</v>
      </c>
      <c r="C43">
        <v>-7</v>
      </c>
      <c r="D43">
        <v>0</v>
      </c>
      <c r="E43">
        <v>0</v>
      </c>
      <c r="F43">
        <v>0</v>
      </c>
      <c r="G43">
        <v>340</v>
      </c>
      <c r="H43">
        <v>1.3616476112399099E-2</v>
      </c>
      <c r="I43">
        <v>1.0605259247264689</v>
      </c>
      <c r="J43" s="1">
        <v>8.5975443212325531E-2</v>
      </c>
      <c r="L43" t="s">
        <v>919</v>
      </c>
      <c r="M43" t="s">
        <v>1479</v>
      </c>
      <c r="N43" t="s">
        <v>918</v>
      </c>
    </row>
    <row r="44" spans="1:14" hidden="1">
      <c r="A44" t="s">
        <v>27</v>
      </c>
      <c r="B44" t="s">
        <v>29</v>
      </c>
      <c r="C44">
        <v>0</v>
      </c>
      <c r="D44">
        <v>0</v>
      </c>
      <c r="E44">
        <v>0</v>
      </c>
      <c r="F44">
        <v>0</v>
      </c>
      <c r="G44">
        <v>0.52273660898208618</v>
      </c>
      <c r="H44">
        <v>2.8583886887645349E-5</v>
      </c>
      <c r="I44">
        <v>2.3059772793203588E-3</v>
      </c>
      <c r="J44" s="1">
        <v>0.45903837670930753</v>
      </c>
      <c r="K44" t="s">
        <v>344</v>
      </c>
      <c r="L44" t="s">
        <v>921</v>
      </c>
      <c r="M44" t="s">
        <v>1464</v>
      </c>
      <c r="N44" t="s">
        <v>920</v>
      </c>
    </row>
    <row r="45" spans="1:14">
      <c r="A45" t="s">
        <v>62</v>
      </c>
      <c r="B45" t="s">
        <v>63</v>
      </c>
      <c r="C45">
        <v>0</v>
      </c>
      <c r="D45">
        <v>0</v>
      </c>
      <c r="E45">
        <v>0</v>
      </c>
      <c r="F45">
        <v>0</v>
      </c>
      <c r="G45">
        <v>1</v>
      </c>
      <c r="H45">
        <v>4.1337834709805343E-2</v>
      </c>
      <c r="I45">
        <v>0.1990705297724106</v>
      </c>
      <c r="J45" s="1">
        <v>0.45589766210851351</v>
      </c>
      <c r="L45" t="s">
        <v>922</v>
      </c>
      <c r="M45" t="s">
        <v>1488</v>
      </c>
      <c r="N45" t="s">
        <v>923</v>
      </c>
    </row>
    <row r="46" spans="1:14" hidden="1">
      <c r="A46" t="s">
        <v>10</v>
      </c>
      <c r="B46" t="s">
        <v>15</v>
      </c>
      <c r="C46">
        <v>-39</v>
      </c>
      <c r="D46">
        <v>0</v>
      </c>
      <c r="E46">
        <v>0</v>
      </c>
      <c r="F46">
        <v>0</v>
      </c>
      <c r="G46">
        <v>65</v>
      </c>
      <c r="H46">
        <v>2.5639792904257771E-2</v>
      </c>
      <c r="I46">
        <v>0.32103076577186579</v>
      </c>
      <c r="J46" s="1">
        <v>3.7200411704161329E-3</v>
      </c>
      <c r="K46" t="s">
        <v>341</v>
      </c>
      <c r="L46" t="s">
        <v>925</v>
      </c>
      <c r="M46" s="83" t="s">
        <v>1341</v>
      </c>
      <c r="N46" t="s">
        <v>924</v>
      </c>
    </row>
    <row r="47" spans="1:14" hidden="1">
      <c r="A47" t="s">
        <v>10</v>
      </c>
      <c r="B47" t="s">
        <v>17</v>
      </c>
      <c r="C47">
        <v>0</v>
      </c>
      <c r="D47">
        <v>0</v>
      </c>
      <c r="E47">
        <v>0</v>
      </c>
      <c r="F47">
        <v>0</v>
      </c>
      <c r="G47">
        <v>312</v>
      </c>
      <c r="H47">
        <v>2.2182235868050851E-2</v>
      </c>
      <c r="I47">
        <v>0.49852747101211181</v>
      </c>
      <c r="J47" s="1">
        <v>3.571533598000332E-3</v>
      </c>
      <c r="K47" t="s">
        <v>341</v>
      </c>
      <c r="L47" t="s">
        <v>926</v>
      </c>
      <c r="M47" s="83" t="s">
        <v>1345</v>
      </c>
      <c r="N47" t="s">
        <v>889</v>
      </c>
    </row>
    <row r="48" spans="1:14" hidden="1">
      <c r="A48" t="s">
        <v>10</v>
      </c>
      <c r="B48" t="s">
        <v>16</v>
      </c>
      <c r="C48">
        <v>-39</v>
      </c>
      <c r="D48">
        <v>0</v>
      </c>
      <c r="E48">
        <v>0</v>
      </c>
      <c r="F48">
        <v>0</v>
      </c>
      <c r="G48">
        <v>65</v>
      </c>
      <c r="H48">
        <v>2.5639792904257771E-2</v>
      </c>
      <c r="I48">
        <v>0.32103076577186579</v>
      </c>
      <c r="J48" s="1">
        <v>3.7200411704161329E-3</v>
      </c>
      <c r="K48" t="s">
        <v>341</v>
      </c>
      <c r="L48" t="s">
        <v>927</v>
      </c>
      <c r="M48" s="83" t="s">
        <v>1344</v>
      </c>
      <c r="N48" t="s">
        <v>891</v>
      </c>
    </row>
    <row r="49" spans="1:14" hidden="1">
      <c r="A49" t="s">
        <v>10</v>
      </c>
      <c r="B49" t="s">
        <v>18</v>
      </c>
      <c r="C49">
        <v>-63</v>
      </c>
      <c r="D49">
        <v>0</v>
      </c>
      <c r="E49">
        <v>0</v>
      </c>
      <c r="F49">
        <v>0</v>
      </c>
      <c r="G49">
        <v>59</v>
      </c>
      <c r="H49">
        <v>8.212786088510033E-4</v>
      </c>
      <c r="I49">
        <v>0.12557146091527149</v>
      </c>
      <c r="J49" s="1">
        <v>4.6827193719289888E-5</v>
      </c>
      <c r="K49" t="s">
        <v>341</v>
      </c>
      <c r="L49" t="s">
        <v>929</v>
      </c>
      <c r="M49" s="83" t="s">
        <v>1348</v>
      </c>
      <c r="N49" t="s">
        <v>928</v>
      </c>
    </row>
    <row r="50" spans="1:14" hidden="1">
      <c r="A50" t="s">
        <v>125</v>
      </c>
      <c r="B50" t="s">
        <v>140</v>
      </c>
      <c r="C50">
        <v>0</v>
      </c>
      <c r="D50">
        <v>3</v>
      </c>
      <c r="E50">
        <v>6</v>
      </c>
      <c r="F50">
        <v>9</v>
      </c>
      <c r="G50">
        <v>73</v>
      </c>
      <c r="H50">
        <v>6.9598312377929688</v>
      </c>
      <c r="I50">
        <v>5.5811448097229004</v>
      </c>
      <c r="J50" s="1">
        <v>3.3105425672695143E-2</v>
      </c>
      <c r="K50" t="s">
        <v>344</v>
      </c>
      <c r="L50" t="s">
        <v>945</v>
      </c>
      <c r="M50" t="s">
        <v>1411</v>
      </c>
      <c r="N50" t="s">
        <v>944</v>
      </c>
    </row>
    <row r="51" spans="1:14" hidden="1">
      <c r="A51" t="s">
        <v>125</v>
      </c>
      <c r="B51" t="s">
        <v>138</v>
      </c>
      <c r="C51">
        <v>0</v>
      </c>
      <c r="D51">
        <v>1.732050807568877</v>
      </c>
      <c r="E51">
        <v>2.4494897427831779</v>
      </c>
      <c r="F51">
        <v>3.7416573867739409</v>
      </c>
      <c r="G51">
        <v>39.597979746446661</v>
      </c>
      <c r="H51">
        <v>2.9684205235310301</v>
      </c>
      <c r="I51">
        <v>2.1344339876274359</v>
      </c>
      <c r="J51" s="1">
        <v>3.6369651521835022E-2</v>
      </c>
      <c r="K51" t="s">
        <v>344</v>
      </c>
      <c r="L51" t="s">
        <v>947</v>
      </c>
      <c r="M51" t="s">
        <v>1410</v>
      </c>
      <c r="N51" t="s">
        <v>946</v>
      </c>
    </row>
    <row r="52" spans="1:14">
      <c r="A52" t="s">
        <v>125</v>
      </c>
      <c r="B52" t="s">
        <v>139</v>
      </c>
      <c r="C52">
        <v>-12</v>
      </c>
      <c r="D52">
        <v>-7.6923079788684845E-2</v>
      </c>
      <c r="E52">
        <v>0</v>
      </c>
      <c r="F52">
        <v>7.6923079788684845E-2</v>
      </c>
      <c r="G52">
        <v>6.5</v>
      </c>
      <c r="H52">
        <v>-1.7248575750272721E-4</v>
      </c>
      <c r="I52">
        <v>0.1473429948091507</v>
      </c>
      <c r="J52" s="1">
        <v>3.5924128804587563E-2</v>
      </c>
      <c r="L52" s="3" t="s">
        <v>949</v>
      </c>
      <c r="M52" t="s">
        <v>1409</v>
      </c>
      <c r="N52" t="s">
        <v>948</v>
      </c>
    </row>
    <row r="53" spans="1:14">
      <c r="A53" t="s">
        <v>125</v>
      </c>
      <c r="B53" t="s">
        <v>131</v>
      </c>
      <c r="C53">
        <v>0</v>
      </c>
      <c r="D53">
        <v>21</v>
      </c>
      <c r="E53">
        <v>23.431535720825199</v>
      </c>
      <c r="F53">
        <v>27.056877136230469</v>
      </c>
      <c r="G53">
        <v>54.726299285888672</v>
      </c>
      <c r="H53">
        <v>24.23091888427734</v>
      </c>
      <c r="I53">
        <v>5.2442059516906738</v>
      </c>
      <c r="J53" s="1">
        <v>4.076753418614909E-2</v>
      </c>
      <c r="L53" s="3" t="s">
        <v>951</v>
      </c>
      <c r="M53" t="s">
        <v>1408</v>
      </c>
      <c r="N53" t="s">
        <v>950</v>
      </c>
    </row>
    <row r="54" spans="1:14">
      <c r="A54" t="s">
        <v>125</v>
      </c>
      <c r="B54" t="s">
        <v>128</v>
      </c>
      <c r="C54">
        <v>0</v>
      </c>
      <c r="D54">
        <v>22</v>
      </c>
      <c r="E54">
        <v>25</v>
      </c>
      <c r="F54">
        <v>29</v>
      </c>
      <c r="G54">
        <v>56</v>
      </c>
      <c r="H54">
        <v>25.401645943156289</v>
      </c>
      <c r="I54">
        <v>5.5448972158917167</v>
      </c>
      <c r="J54" s="1">
        <v>4.3486252021761478E-2</v>
      </c>
      <c r="L54" t="s">
        <v>953</v>
      </c>
      <c r="M54" t="s">
        <v>1415</v>
      </c>
      <c r="N54" t="s">
        <v>952</v>
      </c>
    </row>
    <row r="55" spans="1:14">
      <c r="A55" t="s">
        <v>125</v>
      </c>
      <c r="B55" t="s">
        <v>130</v>
      </c>
      <c r="C55">
        <v>0</v>
      </c>
      <c r="D55">
        <v>21</v>
      </c>
      <c r="E55">
        <v>23.428571701049801</v>
      </c>
      <c r="F55">
        <v>27.071428298950199</v>
      </c>
      <c r="G55">
        <v>54.642856597900391</v>
      </c>
      <c r="H55">
        <v>24.24192047119141</v>
      </c>
      <c r="I55">
        <v>5.2428154945373544</v>
      </c>
      <c r="J55" s="1">
        <v>4.0876341714453757E-2</v>
      </c>
      <c r="L55" t="s">
        <v>955</v>
      </c>
      <c r="M55" t="s">
        <v>1414</v>
      </c>
      <c r="N55" t="s">
        <v>954</v>
      </c>
    </row>
    <row r="56" spans="1:14">
      <c r="A56" t="s">
        <v>125</v>
      </c>
      <c r="B56" t="s">
        <v>143</v>
      </c>
      <c r="C56">
        <v>0</v>
      </c>
      <c r="D56">
        <v>0.42581531405448908</v>
      </c>
      <c r="E56">
        <v>0.57893425226211548</v>
      </c>
      <c r="F56">
        <v>0.89258235692977905</v>
      </c>
      <c r="G56">
        <v>15.11930561065674</v>
      </c>
      <c r="H56">
        <v>0.72468560934066772</v>
      </c>
      <c r="I56">
        <v>0.59999585151672363</v>
      </c>
      <c r="J56" s="1">
        <v>2.9708866343184811E-2</v>
      </c>
      <c r="L56" t="s">
        <v>957</v>
      </c>
      <c r="M56" t="s">
        <v>1413</v>
      </c>
      <c r="N56" t="s">
        <v>956</v>
      </c>
    </row>
    <row r="57" spans="1:14">
      <c r="A57" t="s">
        <v>125</v>
      </c>
      <c r="B57" t="s">
        <v>146</v>
      </c>
      <c r="C57">
        <v>-3.4743843078613281</v>
      </c>
      <c r="D57">
        <v>-0.60943639278411865</v>
      </c>
      <c r="E57">
        <v>0</v>
      </c>
      <c r="F57">
        <v>0.60943639278411865</v>
      </c>
      <c r="G57">
        <v>3.474385261535645</v>
      </c>
      <c r="H57">
        <v>7.2620525024831304E-3</v>
      </c>
      <c r="I57">
        <v>1.034249901771545</v>
      </c>
      <c r="J57" s="1">
        <v>2.7185707984119959E-2</v>
      </c>
      <c r="L57" t="s">
        <v>959</v>
      </c>
      <c r="M57" t="s">
        <v>1412</v>
      </c>
      <c r="N57" t="s">
        <v>958</v>
      </c>
    </row>
    <row r="58" spans="1:14" hidden="1">
      <c r="A58" t="s">
        <v>125</v>
      </c>
      <c r="B58" t="s">
        <v>144</v>
      </c>
      <c r="C58">
        <v>0</v>
      </c>
      <c r="D58">
        <v>7</v>
      </c>
      <c r="E58">
        <v>12</v>
      </c>
      <c r="F58">
        <v>18</v>
      </c>
      <c r="G58">
        <v>105</v>
      </c>
      <c r="H58">
        <v>13.809682846069339</v>
      </c>
      <c r="I58">
        <v>9.7524499893188477</v>
      </c>
      <c r="J58" s="1">
        <v>2.8604616968092911E-2</v>
      </c>
      <c r="K58" t="s">
        <v>344</v>
      </c>
      <c r="L58" s="3" t="s">
        <v>961</v>
      </c>
      <c r="M58" t="s">
        <v>1403</v>
      </c>
      <c r="N58" t="s">
        <v>960</v>
      </c>
    </row>
    <row r="59" spans="1:14" hidden="1">
      <c r="A59" t="s">
        <v>125</v>
      </c>
      <c r="B59" t="s">
        <v>142</v>
      </c>
      <c r="C59">
        <v>0</v>
      </c>
      <c r="D59">
        <v>2.8284271247461898</v>
      </c>
      <c r="E59">
        <v>3.7416573867739409</v>
      </c>
      <c r="F59">
        <v>5.3851648071345037</v>
      </c>
      <c r="G59">
        <v>39.635842365212831</v>
      </c>
      <c r="H59">
        <v>4.3761113810976227</v>
      </c>
      <c r="I59">
        <v>2.712932495405858</v>
      </c>
      <c r="J59" s="1">
        <v>3.110424937509193E-2</v>
      </c>
      <c r="K59" t="s">
        <v>344</v>
      </c>
      <c r="L59" s="3" t="s">
        <v>963</v>
      </c>
      <c r="M59" t="s">
        <v>1402</v>
      </c>
      <c r="N59" t="s">
        <v>962</v>
      </c>
    </row>
    <row r="60" spans="1:14">
      <c r="A60" t="s">
        <v>125</v>
      </c>
      <c r="B60" t="s">
        <v>136</v>
      </c>
      <c r="C60">
        <v>-12</v>
      </c>
      <c r="D60">
        <v>-3.7037037312984467E-2</v>
      </c>
      <c r="E60">
        <v>0</v>
      </c>
      <c r="F60">
        <v>3.7037037312984467E-2</v>
      </c>
      <c r="G60">
        <v>6.5</v>
      </c>
      <c r="H60">
        <v>-1.4391606964636591E-4</v>
      </c>
      <c r="I60">
        <v>0.1059447899460793</v>
      </c>
      <c r="J60" s="1">
        <v>3.7615056609322128E-2</v>
      </c>
      <c r="L60" s="3" t="s">
        <v>965</v>
      </c>
      <c r="M60" t="s">
        <v>1401</v>
      </c>
      <c r="N60" t="s">
        <v>964</v>
      </c>
    </row>
    <row r="61" spans="1:14">
      <c r="A61" t="s">
        <v>125</v>
      </c>
      <c r="B61" t="s">
        <v>127</v>
      </c>
      <c r="C61">
        <v>0</v>
      </c>
      <c r="D61">
        <v>21.008762359619141</v>
      </c>
      <c r="E61">
        <v>23.44682693481445</v>
      </c>
      <c r="F61">
        <v>27.051033020019531</v>
      </c>
      <c r="G61">
        <v>53.971027374267578</v>
      </c>
      <c r="H61">
        <v>24.221479415893551</v>
      </c>
      <c r="I61">
        <v>5.2224698066711426</v>
      </c>
      <c r="J61" s="1">
        <v>4.4752242317306228E-2</v>
      </c>
      <c r="L61" s="3" t="s">
        <v>967</v>
      </c>
      <c r="M61" t="s">
        <v>1400</v>
      </c>
      <c r="N61" t="s">
        <v>966</v>
      </c>
    </row>
    <row r="62" spans="1:14">
      <c r="A62" t="s">
        <v>125</v>
      </c>
      <c r="B62" t="s">
        <v>135</v>
      </c>
      <c r="C62">
        <v>0</v>
      </c>
      <c r="D62">
        <v>22</v>
      </c>
      <c r="E62">
        <v>25</v>
      </c>
      <c r="F62">
        <v>29</v>
      </c>
      <c r="G62">
        <v>56</v>
      </c>
      <c r="H62">
        <v>25.883552360529389</v>
      </c>
      <c r="I62">
        <v>5.6308776847036208</v>
      </c>
      <c r="J62" s="1">
        <v>3.817232759888245E-2</v>
      </c>
      <c r="L62" s="3" t="s">
        <v>969</v>
      </c>
      <c r="M62" t="s">
        <v>1407</v>
      </c>
      <c r="N62" t="s">
        <v>968</v>
      </c>
    </row>
    <row r="63" spans="1:14">
      <c r="A63" t="s">
        <v>125</v>
      </c>
      <c r="B63" t="s">
        <v>126</v>
      </c>
      <c r="C63">
        <v>0</v>
      </c>
      <c r="D63">
        <v>21</v>
      </c>
      <c r="E63">
        <v>23.428571701049801</v>
      </c>
      <c r="F63">
        <v>27.071428298950199</v>
      </c>
      <c r="G63">
        <v>53.964286804199219</v>
      </c>
      <c r="H63">
        <v>24.240451812744141</v>
      </c>
      <c r="I63">
        <v>5.2134227752685547</v>
      </c>
      <c r="J63" s="1">
        <v>4.6699014850757233E-2</v>
      </c>
      <c r="L63" s="3" t="s">
        <v>971</v>
      </c>
      <c r="M63" t="s">
        <v>1406</v>
      </c>
      <c r="N63" t="s">
        <v>970</v>
      </c>
    </row>
    <row r="64" spans="1:14">
      <c r="A64" t="s">
        <v>125</v>
      </c>
      <c r="B64" t="s">
        <v>137</v>
      </c>
      <c r="C64">
        <v>0</v>
      </c>
      <c r="D64">
        <v>0.48795002698898321</v>
      </c>
      <c r="E64">
        <v>0.68525665998458862</v>
      </c>
      <c r="F64">
        <v>1.055973172187805</v>
      </c>
      <c r="G64">
        <v>15.826564788818359</v>
      </c>
      <c r="H64">
        <v>0.85526061058044434</v>
      </c>
      <c r="I64">
        <v>0.66177141666412354</v>
      </c>
      <c r="J64" s="1">
        <v>3.7437141596823993E-2</v>
      </c>
      <c r="L64" s="3" t="s">
        <v>973</v>
      </c>
      <c r="M64" t="s">
        <v>1405</v>
      </c>
      <c r="N64" t="s">
        <v>972</v>
      </c>
    </row>
    <row r="65" spans="1:14">
      <c r="A65" t="s">
        <v>125</v>
      </c>
      <c r="B65" t="s">
        <v>132</v>
      </c>
      <c r="C65">
        <v>-5.1024665832519531</v>
      </c>
      <c r="D65">
        <v>-0.675831139087677</v>
      </c>
      <c r="E65">
        <v>0</v>
      </c>
      <c r="F65">
        <v>0.675831139087677</v>
      </c>
      <c r="G65">
        <v>5.1024818420410156</v>
      </c>
      <c r="H65">
        <v>1.6917061060667041E-2</v>
      </c>
      <c r="I65">
        <v>1.118666291236877</v>
      </c>
      <c r="J65" s="1">
        <v>3.9397147478312022E-2</v>
      </c>
      <c r="L65" s="3" t="s">
        <v>975</v>
      </c>
      <c r="M65" t="s">
        <v>1404</v>
      </c>
      <c r="N65" t="s">
        <v>974</v>
      </c>
    </row>
    <row r="66" spans="1:14" hidden="1">
      <c r="A66" t="s">
        <v>125</v>
      </c>
      <c r="B66" t="s">
        <v>147</v>
      </c>
      <c r="C66">
        <v>0</v>
      </c>
      <c r="D66">
        <v>1</v>
      </c>
      <c r="E66">
        <v>3</v>
      </c>
      <c r="F66">
        <v>5</v>
      </c>
      <c r="G66">
        <v>64</v>
      </c>
      <c r="H66">
        <v>3.4978199005126949</v>
      </c>
      <c r="I66">
        <v>3.2980329990386958</v>
      </c>
      <c r="J66" s="1">
        <v>2.4805175709454511E-2</v>
      </c>
      <c r="K66" t="s">
        <v>344</v>
      </c>
      <c r="L66" t="s">
        <v>931</v>
      </c>
      <c r="M66" t="s">
        <v>1419</v>
      </c>
      <c r="N66" t="s">
        <v>930</v>
      </c>
    </row>
    <row r="67" spans="1:14" hidden="1">
      <c r="A67" t="s">
        <v>125</v>
      </c>
      <c r="B67" t="s">
        <v>145</v>
      </c>
      <c r="C67">
        <v>0</v>
      </c>
      <c r="D67">
        <v>1</v>
      </c>
      <c r="E67">
        <v>1.732050807568877</v>
      </c>
      <c r="F67">
        <v>2.4494897427831779</v>
      </c>
      <c r="G67">
        <v>37.841775856848997</v>
      </c>
      <c r="H67">
        <v>1.9662871849613559</v>
      </c>
      <c r="I67">
        <v>1.6889942726354319</v>
      </c>
      <c r="J67" s="1">
        <v>2.7228348772239449E-2</v>
      </c>
      <c r="K67" t="s">
        <v>344</v>
      </c>
      <c r="L67" t="s">
        <v>933</v>
      </c>
      <c r="M67" t="s">
        <v>1418</v>
      </c>
      <c r="N67" t="s">
        <v>932</v>
      </c>
    </row>
    <row r="68" spans="1:14">
      <c r="A68" t="s">
        <v>125</v>
      </c>
      <c r="B68" t="s">
        <v>150</v>
      </c>
      <c r="C68">
        <v>-12</v>
      </c>
      <c r="D68">
        <v>-0.1666666716337204</v>
      </c>
      <c r="E68">
        <v>0</v>
      </c>
      <c r="F68">
        <v>0.1666666716337204</v>
      </c>
      <c r="G68">
        <v>6.5</v>
      </c>
      <c r="H68">
        <v>-2.2657311637885871E-4</v>
      </c>
      <c r="I68">
        <v>0.24494476616382599</v>
      </c>
      <c r="J68" s="1">
        <v>1.458756065284517E-2</v>
      </c>
      <c r="L68" t="s">
        <v>935</v>
      </c>
      <c r="M68" t="s">
        <v>1417</v>
      </c>
      <c r="N68" t="s">
        <v>934</v>
      </c>
    </row>
    <row r="69" spans="1:14">
      <c r="A69" t="s">
        <v>125</v>
      </c>
      <c r="B69" t="s">
        <v>134</v>
      </c>
      <c r="C69">
        <v>0</v>
      </c>
      <c r="D69">
        <v>20.999998092651371</v>
      </c>
      <c r="E69">
        <v>23.416887283325199</v>
      </c>
      <c r="F69">
        <v>27.054220199584961</v>
      </c>
      <c r="G69">
        <v>55.155887603759773</v>
      </c>
      <c r="H69">
        <v>24.235422134399411</v>
      </c>
      <c r="I69">
        <v>5.2626204490661621</v>
      </c>
      <c r="J69" s="1">
        <v>3.8766357888545773E-2</v>
      </c>
      <c r="L69" t="s">
        <v>937</v>
      </c>
      <c r="M69" t="s">
        <v>1416</v>
      </c>
      <c r="N69" t="s">
        <v>936</v>
      </c>
    </row>
    <row r="70" spans="1:14">
      <c r="A70" t="s">
        <v>125</v>
      </c>
      <c r="B70" t="s">
        <v>129</v>
      </c>
      <c r="C70">
        <v>0</v>
      </c>
      <c r="D70">
        <v>22</v>
      </c>
      <c r="E70">
        <v>24</v>
      </c>
      <c r="F70">
        <v>28</v>
      </c>
      <c r="G70">
        <v>56</v>
      </c>
      <c r="H70">
        <v>25.02214875214915</v>
      </c>
      <c r="I70">
        <v>5.4757019662703081</v>
      </c>
      <c r="J70" s="1">
        <v>4.1998235553595047E-2</v>
      </c>
      <c r="L70" t="s">
        <v>1492</v>
      </c>
    </row>
    <row r="71" spans="1:14">
      <c r="A71" t="s">
        <v>125</v>
      </c>
      <c r="B71" t="s">
        <v>133</v>
      </c>
      <c r="C71">
        <v>0</v>
      </c>
      <c r="D71">
        <v>21</v>
      </c>
      <c r="E71">
        <v>23.428571701049801</v>
      </c>
      <c r="F71">
        <v>27</v>
      </c>
      <c r="G71">
        <v>55.142856597900391</v>
      </c>
      <c r="H71">
        <v>24.240518569946289</v>
      </c>
      <c r="I71">
        <v>5.2648887634277344</v>
      </c>
      <c r="J71" s="1">
        <v>3.9135421261579213E-2</v>
      </c>
      <c r="L71" t="s">
        <v>939</v>
      </c>
      <c r="M71" t="s">
        <v>1422</v>
      </c>
      <c r="N71" t="s">
        <v>938</v>
      </c>
    </row>
    <row r="72" spans="1:14">
      <c r="A72" t="s">
        <v>125</v>
      </c>
      <c r="B72" t="s">
        <v>148</v>
      </c>
      <c r="C72">
        <v>0</v>
      </c>
      <c r="D72">
        <v>0.37796446681022638</v>
      </c>
      <c r="E72">
        <v>0.48795002698898321</v>
      </c>
      <c r="F72">
        <v>0.75592893362045288</v>
      </c>
      <c r="G72">
        <v>17.0335807800293</v>
      </c>
      <c r="H72">
        <v>0.60623550415039063</v>
      </c>
      <c r="I72">
        <v>0.57153207063674927</v>
      </c>
      <c r="J72" s="1">
        <v>2.2214380238200219E-2</v>
      </c>
      <c r="L72" t="s">
        <v>941</v>
      </c>
      <c r="M72" t="s">
        <v>1421</v>
      </c>
      <c r="N72" t="s">
        <v>940</v>
      </c>
    </row>
    <row r="73" spans="1:14">
      <c r="A73" t="s">
        <v>125</v>
      </c>
      <c r="B73" t="s">
        <v>149</v>
      </c>
      <c r="C73">
        <v>-2.267783403396606</v>
      </c>
      <c r="D73">
        <v>-0.58552801609039307</v>
      </c>
      <c r="E73">
        <v>0</v>
      </c>
      <c r="F73">
        <v>0.58552801609039307</v>
      </c>
      <c r="G73">
        <v>2.2677838802337651</v>
      </c>
      <c r="H73">
        <v>3.4539962653070688E-3</v>
      </c>
      <c r="I73">
        <v>0.90361922979354858</v>
      </c>
      <c r="J73" s="1">
        <v>1.5228642846640271E-2</v>
      </c>
      <c r="L73" t="s">
        <v>943</v>
      </c>
      <c r="M73" t="s">
        <v>1420</v>
      </c>
      <c r="N73" t="s">
        <v>942</v>
      </c>
    </row>
    <row r="74" spans="1:14" hidden="1">
      <c r="A74" t="s">
        <v>125</v>
      </c>
      <c r="B74" t="s">
        <v>153</v>
      </c>
      <c r="C74">
        <v>-31</v>
      </c>
      <c r="D74">
        <v>0</v>
      </c>
      <c r="E74">
        <v>0</v>
      </c>
      <c r="F74">
        <v>0</v>
      </c>
      <c r="G74">
        <v>30</v>
      </c>
      <c r="H74">
        <v>-9.535059340685173E-4</v>
      </c>
      <c r="I74">
        <v>0.98875575754859235</v>
      </c>
      <c r="J74" s="1">
        <v>2.8501073754020959E-3</v>
      </c>
      <c r="K74" t="s">
        <v>341</v>
      </c>
      <c r="L74" t="s">
        <v>977</v>
      </c>
      <c r="M74" t="s">
        <v>1423</v>
      </c>
      <c r="N74" t="s">
        <v>976</v>
      </c>
    </row>
    <row r="75" spans="1:14" hidden="1">
      <c r="A75" t="s">
        <v>70</v>
      </c>
      <c r="B75" t="s">
        <v>73</v>
      </c>
      <c r="C75">
        <v>0</v>
      </c>
      <c r="D75">
        <v>0</v>
      </c>
      <c r="E75">
        <v>0</v>
      </c>
      <c r="F75">
        <v>0</v>
      </c>
      <c r="G75">
        <v>597268</v>
      </c>
      <c r="H75">
        <v>18.216959940369861</v>
      </c>
      <c r="I75">
        <v>1628.568402138282</v>
      </c>
      <c r="J75" s="1">
        <v>6.2343772974560174E-4</v>
      </c>
      <c r="K75" t="s">
        <v>341</v>
      </c>
      <c r="L75" s="3" t="s">
        <v>978</v>
      </c>
      <c r="M75" t="s">
        <v>1395</v>
      </c>
      <c r="N75" t="s">
        <v>885</v>
      </c>
    </row>
    <row r="76" spans="1:14" hidden="1">
      <c r="A76" t="s">
        <v>70</v>
      </c>
      <c r="B76" t="s">
        <v>74</v>
      </c>
      <c r="C76">
        <v>-490854</v>
      </c>
      <c r="D76">
        <v>0</v>
      </c>
      <c r="E76">
        <v>0</v>
      </c>
      <c r="F76">
        <v>0</v>
      </c>
      <c r="G76">
        <v>109935</v>
      </c>
      <c r="H76">
        <v>-0.95975840091705322</v>
      </c>
      <c r="I76">
        <v>658.7840576171875</v>
      </c>
      <c r="J76" s="1">
        <v>5.7344508160564617E-5</v>
      </c>
      <c r="K76" t="s">
        <v>341</v>
      </c>
      <c r="L76" s="3" t="s">
        <v>979</v>
      </c>
      <c r="M76" t="s">
        <v>1394</v>
      </c>
      <c r="N76" t="s">
        <v>887</v>
      </c>
    </row>
    <row r="77" spans="1:14" hidden="1">
      <c r="A77" t="s">
        <v>70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597268</v>
      </c>
      <c r="H77">
        <v>39.260775570278689</v>
      </c>
      <c r="I77">
        <v>2514.2969193836921</v>
      </c>
      <c r="J77" s="1">
        <v>1.295397735627146E-3</v>
      </c>
      <c r="K77" t="s">
        <v>341</v>
      </c>
      <c r="L77" s="3" t="s">
        <v>980</v>
      </c>
      <c r="M77" t="s">
        <v>1393</v>
      </c>
      <c r="N77" t="s">
        <v>889</v>
      </c>
    </row>
    <row r="78" spans="1:14" hidden="1">
      <c r="A78" t="s">
        <v>70</v>
      </c>
      <c r="B78" t="s">
        <v>75</v>
      </c>
      <c r="C78">
        <v>-145221</v>
      </c>
      <c r="D78">
        <v>0</v>
      </c>
      <c r="E78">
        <v>0</v>
      </c>
      <c r="F78">
        <v>0</v>
      </c>
      <c r="G78">
        <v>109935</v>
      </c>
      <c r="H78">
        <v>-1.149925589561462</v>
      </c>
      <c r="I78">
        <v>457.59481811523438</v>
      </c>
      <c r="J78" s="1">
        <v>4.705190413174533E-5</v>
      </c>
      <c r="K78" t="s">
        <v>341</v>
      </c>
      <c r="L78" s="3" t="s">
        <v>981</v>
      </c>
      <c r="M78" t="s">
        <v>1392</v>
      </c>
      <c r="N78" t="s">
        <v>891</v>
      </c>
    </row>
    <row r="79" spans="1:14">
      <c r="A79" t="s">
        <v>70</v>
      </c>
      <c r="B79" t="s">
        <v>71</v>
      </c>
      <c r="C79">
        <v>-1</v>
      </c>
      <c r="D79">
        <v>-1</v>
      </c>
      <c r="E79">
        <v>-1</v>
      </c>
      <c r="F79">
        <v>-1</v>
      </c>
      <c r="G79">
        <v>1910</v>
      </c>
      <c r="H79">
        <v>59.417479374757058</v>
      </c>
      <c r="I79">
        <v>253.33313274710579</v>
      </c>
      <c r="J79" s="1">
        <v>2.9526540214674379E-2</v>
      </c>
      <c r="L79" t="s">
        <v>983</v>
      </c>
      <c r="M79" s="83" t="s">
        <v>1365</v>
      </c>
      <c r="N79" t="s">
        <v>982</v>
      </c>
    </row>
    <row r="80" spans="1:14" hidden="1">
      <c r="A80" t="s">
        <v>70</v>
      </c>
      <c r="B80" t="s">
        <v>76</v>
      </c>
      <c r="C80">
        <v>-144514</v>
      </c>
      <c r="D80">
        <v>0</v>
      </c>
      <c r="E80">
        <v>0</v>
      </c>
      <c r="F80">
        <v>0</v>
      </c>
      <c r="G80">
        <v>109935</v>
      </c>
      <c r="H80">
        <v>-0.1199771981323625</v>
      </c>
      <c r="I80">
        <v>298.83571854442522</v>
      </c>
      <c r="J80" s="1">
        <v>4.154906796537182E-5</v>
      </c>
      <c r="K80" t="s">
        <v>341</v>
      </c>
      <c r="L80" s="3" t="s">
        <v>985</v>
      </c>
      <c r="M80" t="s">
        <v>1396</v>
      </c>
      <c r="N80" t="s">
        <v>984</v>
      </c>
    </row>
    <row r="81" spans="1:14" hidden="1">
      <c r="A81" t="s">
        <v>10</v>
      </c>
      <c r="B81" t="s">
        <v>14</v>
      </c>
      <c r="C81">
        <v>-10600</v>
      </c>
      <c r="D81">
        <v>0</v>
      </c>
      <c r="E81">
        <v>0</v>
      </c>
      <c r="F81">
        <v>0</v>
      </c>
      <c r="G81">
        <v>1495</v>
      </c>
      <c r="H81">
        <v>9.959222748875618E-3</v>
      </c>
      <c r="I81">
        <v>13.68033409118652</v>
      </c>
      <c r="J81" s="1">
        <v>5.4197912071753951E-3</v>
      </c>
      <c r="K81" t="s">
        <v>341</v>
      </c>
      <c r="L81" t="s">
        <v>987</v>
      </c>
      <c r="M81" s="83" t="s">
        <v>1340</v>
      </c>
      <c r="N81" t="s">
        <v>986</v>
      </c>
    </row>
    <row r="82" spans="1:14" hidden="1">
      <c r="A82" t="s">
        <v>154</v>
      </c>
      <c r="B82" t="s">
        <v>170</v>
      </c>
      <c r="C82">
        <v>0</v>
      </c>
      <c r="D82">
        <v>3</v>
      </c>
      <c r="E82">
        <v>6</v>
      </c>
      <c r="F82">
        <v>9</v>
      </c>
      <c r="G82">
        <v>73</v>
      </c>
      <c r="H82">
        <v>7.0464534759521484</v>
      </c>
      <c r="I82">
        <v>5.6100993156433114</v>
      </c>
      <c r="J82" s="1">
        <v>3.1433612704014118E-2</v>
      </c>
      <c r="K82" t="s">
        <v>344</v>
      </c>
      <c r="L82" t="s">
        <v>997</v>
      </c>
      <c r="M82" t="s">
        <v>1438</v>
      </c>
      <c r="N82" t="s">
        <v>944</v>
      </c>
    </row>
    <row r="83" spans="1:14" hidden="1">
      <c r="A83" t="s">
        <v>154</v>
      </c>
      <c r="B83" t="s">
        <v>168</v>
      </c>
      <c r="C83">
        <v>0</v>
      </c>
      <c r="D83">
        <v>1.732050807568877</v>
      </c>
      <c r="E83">
        <v>2.6457513110645912</v>
      </c>
      <c r="F83">
        <v>3.7416573867739409</v>
      </c>
      <c r="G83">
        <v>39.597979746446661</v>
      </c>
      <c r="H83">
        <v>3.0053882668461189</v>
      </c>
      <c r="I83">
        <v>2.1488907787476128</v>
      </c>
      <c r="J83" s="1">
        <v>3.3265696221143948E-2</v>
      </c>
      <c r="K83" t="s">
        <v>344</v>
      </c>
      <c r="L83" t="s">
        <v>998</v>
      </c>
      <c r="M83" t="s">
        <v>1437</v>
      </c>
      <c r="N83" t="s">
        <v>946</v>
      </c>
    </row>
    <row r="84" spans="1:14">
      <c r="A84" t="s">
        <v>154</v>
      </c>
      <c r="B84" t="s">
        <v>166</v>
      </c>
      <c r="C84">
        <v>-12</v>
      </c>
      <c r="D84">
        <v>-7.6923079788684845E-2</v>
      </c>
      <c r="E84">
        <v>0</v>
      </c>
      <c r="F84">
        <v>7.6923079788684845E-2</v>
      </c>
      <c r="G84">
        <v>6.5</v>
      </c>
      <c r="H84">
        <v>-2.7121352104586549E-5</v>
      </c>
      <c r="I84">
        <v>0.1493047624826431</v>
      </c>
      <c r="J84" s="1">
        <v>3.4966916629907363E-2</v>
      </c>
      <c r="L84" t="s">
        <v>999</v>
      </c>
      <c r="M84" t="s">
        <v>1436</v>
      </c>
      <c r="N84" t="s">
        <v>948</v>
      </c>
    </row>
    <row r="85" spans="1:14">
      <c r="A85" t="s">
        <v>154</v>
      </c>
      <c r="B85" t="s">
        <v>160</v>
      </c>
      <c r="C85">
        <v>7.6658172607421884</v>
      </c>
      <c r="D85">
        <v>21.02116584777832</v>
      </c>
      <c r="E85">
        <v>23.46696662902832</v>
      </c>
      <c r="F85">
        <v>27.064340591430661</v>
      </c>
      <c r="G85">
        <v>54.726299285888672</v>
      </c>
      <c r="H85">
        <v>24.41819953918457</v>
      </c>
      <c r="I85">
        <v>4.7671060562133789</v>
      </c>
      <c r="J85" s="1">
        <v>3.9057491545360978E-2</v>
      </c>
      <c r="L85" t="s">
        <v>1000</v>
      </c>
      <c r="M85" t="s">
        <v>1435</v>
      </c>
      <c r="N85" t="s">
        <v>950</v>
      </c>
    </row>
    <row r="86" spans="1:14">
      <c r="A86" t="s">
        <v>154</v>
      </c>
      <c r="B86" t="s">
        <v>157</v>
      </c>
      <c r="C86">
        <v>13</v>
      </c>
      <c r="D86">
        <v>22</v>
      </c>
      <c r="E86">
        <v>25</v>
      </c>
      <c r="F86">
        <v>29</v>
      </c>
      <c r="G86">
        <v>56</v>
      </c>
      <c r="H86">
        <v>25.594753829154421</v>
      </c>
      <c r="I86">
        <v>5.0654737866474653</v>
      </c>
      <c r="J86" s="1">
        <v>4.0982208498750228E-2</v>
      </c>
      <c r="L86" t="s">
        <v>1001</v>
      </c>
      <c r="M86" t="s">
        <v>1442</v>
      </c>
      <c r="N86" t="s">
        <v>952</v>
      </c>
    </row>
    <row r="87" spans="1:14">
      <c r="A87" t="s">
        <v>154</v>
      </c>
      <c r="B87" t="s">
        <v>161</v>
      </c>
      <c r="C87">
        <v>12.928571701049799</v>
      </c>
      <c r="D87">
        <v>21</v>
      </c>
      <c r="E87">
        <v>23.428571701049801</v>
      </c>
      <c r="F87">
        <v>27.071428298950199</v>
      </c>
      <c r="G87">
        <v>54.642856597900391</v>
      </c>
      <c r="H87">
        <v>24.419403076171879</v>
      </c>
      <c r="I87">
        <v>4.7804508209228516</v>
      </c>
      <c r="J87" s="1">
        <v>3.8992795177179802E-2</v>
      </c>
      <c r="L87" t="s">
        <v>1002</v>
      </c>
      <c r="M87" t="s">
        <v>1441</v>
      </c>
      <c r="N87" t="s">
        <v>954</v>
      </c>
    </row>
    <row r="88" spans="1:14">
      <c r="A88" t="s">
        <v>154</v>
      </c>
      <c r="B88" t="s">
        <v>171</v>
      </c>
      <c r="C88">
        <v>0</v>
      </c>
      <c r="D88">
        <v>0.42581531405448908</v>
      </c>
      <c r="E88">
        <v>0.57893425226211548</v>
      </c>
      <c r="F88">
        <v>0.91387355327606201</v>
      </c>
      <c r="G88">
        <v>15.11930561065674</v>
      </c>
      <c r="H88">
        <v>0.73269617557525635</v>
      </c>
      <c r="I88">
        <v>0.60052496194839478</v>
      </c>
      <c r="J88" s="1">
        <v>2.7387148948683989E-2</v>
      </c>
      <c r="L88" t="s">
        <v>1003</v>
      </c>
      <c r="M88" t="s">
        <v>1440</v>
      </c>
      <c r="N88" t="s">
        <v>956</v>
      </c>
    </row>
    <row r="89" spans="1:14">
      <c r="A89" t="s">
        <v>154</v>
      </c>
      <c r="B89" t="s">
        <v>172</v>
      </c>
      <c r="C89">
        <v>-3.4743843078613281</v>
      </c>
      <c r="D89">
        <v>-0.60943639278411865</v>
      </c>
      <c r="E89">
        <v>0</v>
      </c>
      <c r="F89">
        <v>0.60943639278411865</v>
      </c>
      <c r="G89">
        <v>3.474387407302856</v>
      </c>
      <c r="H89">
        <v>7.1876845322549343E-3</v>
      </c>
      <c r="I89">
        <v>1.038269996643066</v>
      </c>
      <c r="J89" s="1">
        <v>2.6756359358917792E-2</v>
      </c>
      <c r="L89" t="s">
        <v>1004</v>
      </c>
      <c r="M89" t="s">
        <v>1439</v>
      </c>
      <c r="N89" t="s">
        <v>958</v>
      </c>
    </row>
    <row r="90" spans="1:14" hidden="1">
      <c r="A90" t="s">
        <v>154</v>
      </c>
      <c r="B90" t="s">
        <v>174</v>
      </c>
      <c r="C90">
        <v>0</v>
      </c>
      <c r="D90">
        <v>8</v>
      </c>
      <c r="E90">
        <v>12</v>
      </c>
      <c r="F90">
        <v>18</v>
      </c>
      <c r="G90">
        <v>105</v>
      </c>
      <c r="H90">
        <v>13.97883129119873</v>
      </c>
      <c r="I90">
        <v>9.7719573974609375</v>
      </c>
      <c r="J90" s="1">
        <v>2.6391707101896759E-2</v>
      </c>
      <c r="K90" t="s">
        <v>344</v>
      </c>
      <c r="L90" t="s">
        <v>1005</v>
      </c>
      <c r="M90" t="s">
        <v>1430</v>
      </c>
      <c r="N90" t="s">
        <v>960</v>
      </c>
    </row>
    <row r="91" spans="1:14" hidden="1">
      <c r="A91" t="s">
        <v>154</v>
      </c>
      <c r="B91" t="s">
        <v>173</v>
      </c>
      <c r="C91">
        <v>0</v>
      </c>
      <c r="D91">
        <v>2.8284271247461898</v>
      </c>
      <c r="E91">
        <v>3.872983346207417</v>
      </c>
      <c r="F91">
        <v>5.4772255750516612</v>
      </c>
      <c r="G91">
        <v>39.635842365212831</v>
      </c>
      <c r="H91">
        <v>4.4322461394552981</v>
      </c>
      <c r="I91">
        <v>2.7234733458168758</v>
      </c>
      <c r="J91" s="1">
        <v>2.6694603734744859E-2</v>
      </c>
      <c r="K91" t="s">
        <v>344</v>
      </c>
      <c r="L91" t="s">
        <v>1006</v>
      </c>
      <c r="M91" t="s">
        <v>1429</v>
      </c>
      <c r="N91" t="s">
        <v>962</v>
      </c>
    </row>
    <row r="92" spans="1:14">
      <c r="A92" t="s">
        <v>154</v>
      </c>
      <c r="B92" t="s">
        <v>164</v>
      </c>
      <c r="C92">
        <v>-12</v>
      </c>
      <c r="D92">
        <v>-3.7037037312984467E-2</v>
      </c>
      <c r="E92">
        <v>0</v>
      </c>
      <c r="F92">
        <v>3.7037037312984467E-2</v>
      </c>
      <c r="G92">
        <v>6.5</v>
      </c>
      <c r="H92">
        <v>4.944364627590403E-5</v>
      </c>
      <c r="I92">
        <v>0.1081388592720032</v>
      </c>
      <c r="J92" s="1">
        <v>3.6643140714600793E-2</v>
      </c>
      <c r="L92" t="s">
        <v>1007</v>
      </c>
      <c r="M92" t="s">
        <v>1428</v>
      </c>
      <c r="N92" t="s">
        <v>964</v>
      </c>
    </row>
    <row r="93" spans="1:14">
      <c r="A93" t="s">
        <v>154</v>
      </c>
      <c r="B93" t="s">
        <v>156</v>
      </c>
      <c r="C93">
        <v>4.5065064430236816</v>
      </c>
      <c r="D93">
        <v>21.05854606628418</v>
      </c>
      <c r="E93">
        <v>23.484115600585941</v>
      </c>
      <c r="F93">
        <v>27.058347702026371</v>
      </c>
      <c r="G93">
        <v>53.971027374267578</v>
      </c>
      <c r="H93">
        <v>24.419303894042969</v>
      </c>
      <c r="I93">
        <v>4.7256317138671884</v>
      </c>
      <c r="J93" s="1">
        <v>4.3068666372592317E-2</v>
      </c>
      <c r="L93" t="s">
        <v>1008</v>
      </c>
      <c r="M93" t="s">
        <v>1427</v>
      </c>
      <c r="N93" t="s">
        <v>966</v>
      </c>
    </row>
    <row r="94" spans="1:14">
      <c r="A94" t="s">
        <v>154</v>
      </c>
      <c r="B94" t="s">
        <v>165</v>
      </c>
      <c r="C94">
        <v>14</v>
      </c>
      <c r="D94">
        <v>22</v>
      </c>
      <c r="E94">
        <v>25</v>
      </c>
      <c r="F94">
        <v>29</v>
      </c>
      <c r="G94">
        <v>56</v>
      </c>
      <c r="H94">
        <v>26.085109790202669</v>
      </c>
      <c r="I94">
        <v>5.140046601682716</v>
      </c>
      <c r="J94" s="1">
        <v>3.6150566093221648E-2</v>
      </c>
      <c r="L94" t="s">
        <v>1009</v>
      </c>
      <c r="M94" t="s">
        <v>1434</v>
      </c>
      <c r="N94" t="s">
        <v>968</v>
      </c>
    </row>
    <row r="95" spans="1:14">
      <c r="A95" t="s">
        <v>154</v>
      </c>
      <c r="B95" t="s">
        <v>155</v>
      </c>
      <c r="C95">
        <v>12.964285850524901</v>
      </c>
      <c r="D95">
        <v>21.035715103149411</v>
      </c>
      <c r="E95">
        <v>23.464284896850589</v>
      </c>
      <c r="F95">
        <v>27.071428298950199</v>
      </c>
      <c r="G95">
        <v>53.964286804199219</v>
      </c>
      <c r="H95">
        <v>24.418220520019531</v>
      </c>
      <c r="I95">
        <v>4.7478480339050293</v>
      </c>
      <c r="J95" s="1">
        <v>4.569916188795764E-2</v>
      </c>
      <c r="L95" t="s">
        <v>1010</v>
      </c>
      <c r="M95" t="s">
        <v>1433</v>
      </c>
      <c r="N95" t="s">
        <v>970</v>
      </c>
    </row>
    <row r="96" spans="1:14">
      <c r="A96" t="s">
        <v>154</v>
      </c>
      <c r="B96" t="s">
        <v>167</v>
      </c>
      <c r="C96">
        <v>0</v>
      </c>
      <c r="D96">
        <v>0.48795002698898321</v>
      </c>
      <c r="E96">
        <v>0.69006556272506714</v>
      </c>
      <c r="F96">
        <v>1.0659471750259399</v>
      </c>
      <c r="G96">
        <v>15.826564788818359</v>
      </c>
      <c r="H96">
        <v>0.86446011066436768</v>
      </c>
      <c r="I96">
        <v>0.66001474857330322</v>
      </c>
      <c r="J96" s="1">
        <v>3.3345096309366273E-2</v>
      </c>
      <c r="L96" t="s">
        <v>1011</v>
      </c>
      <c r="M96" t="s">
        <v>1432</v>
      </c>
      <c r="N96" t="s">
        <v>972</v>
      </c>
    </row>
    <row r="97" spans="1:14">
      <c r="A97" t="s">
        <v>154</v>
      </c>
      <c r="B97" t="s">
        <v>159</v>
      </c>
      <c r="C97">
        <v>-5.1024665832519531</v>
      </c>
      <c r="D97">
        <v>-0.675831139087677</v>
      </c>
      <c r="E97">
        <v>0</v>
      </c>
      <c r="F97">
        <v>0.675831139087677</v>
      </c>
      <c r="G97">
        <v>5.1024818420410156</v>
      </c>
      <c r="H97">
        <v>1.670335233211517E-2</v>
      </c>
      <c r="I97">
        <v>1.1226992607116699</v>
      </c>
      <c r="J97" s="1">
        <v>3.9147184237612147E-2</v>
      </c>
      <c r="L97" t="s">
        <v>1012</v>
      </c>
      <c r="M97" t="s">
        <v>1431</v>
      </c>
      <c r="N97" t="s">
        <v>974</v>
      </c>
    </row>
    <row r="98" spans="1:14" hidden="1">
      <c r="A98" t="s">
        <v>154</v>
      </c>
      <c r="B98" t="s">
        <v>176</v>
      </c>
      <c r="C98">
        <v>0</v>
      </c>
      <c r="D98">
        <v>1</v>
      </c>
      <c r="E98">
        <v>3</v>
      </c>
      <c r="F98">
        <v>5</v>
      </c>
      <c r="G98">
        <v>64</v>
      </c>
      <c r="H98">
        <v>3.541296243667603</v>
      </c>
      <c r="I98">
        <v>3.3225333690643311</v>
      </c>
      <c r="J98" s="1">
        <v>2.340391118953089E-2</v>
      </c>
      <c r="K98" t="s">
        <v>344</v>
      </c>
      <c r="L98" t="s">
        <v>988</v>
      </c>
      <c r="M98" t="s">
        <v>1446</v>
      </c>
      <c r="N98" t="s">
        <v>930</v>
      </c>
    </row>
    <row r="99" spans="1:14" hidden="1">
      <c r="A99" t="s">
        <v>154</v>
      </c>
      <c r="B99" t="s">
        <v>175</v>
      </c>
      <c r="C99">
        <v>0</v>
      </c>
      <c r="D99">
        <v>1</v>
      </c>
      <c r="E99">
        <v>1.732050807568877</v>
      </c>
      <c r="F99">
        <v>2.4494897427831779</v>
      </c>
      <c r="G99">
        <v>37.841775856848997</v>
      </c>
      <c r="H99">
        <v>1.9900113544449149</v>
      </c>
      <c r="I99">
        <v>1.7026207216251461</v>
      </c>
      <c r="J99" s="1">
        <v>2.5296279958829548E-2</v>
      </c>
      <c r="K99" t="s">
        <v>344</v>
      </c>
      <c r="L99" t="s">
        <v>989</v>
      </c>
      <c r="M99" t="s">
        <v>1445</v>
      </c>
      <c r="N99" t="s">
        <v>932</v>
      </c>
    </row>
    <row r="100" spans="1:14">
      <c r="A100" t="s">
        <v>154</v>
      </c>
      <c r="B100" t="s">
        <v>179</v>
      </c>
      <c r="C100">
        <v>-12</v>
      </c>
      <c r="D100">
        <v>-0.1666666716337204</v>
      </c>
      <c r="E100">
        <v>0</v>
      </c>
      <c r="F100">
        <v>0.1666666716337204</v>
      </c>
      <c r="G100">
        <v>6.5</v>
      </c>
      <c r="H100">
        <v>-1.3507518451660869E-4</v>
      </c>
      <c r="I100">
        <v>0.24720609188079831</v>
      </c>
      <c r="J100" s="1">
        <v>1.3273048081164531E-2</v>
      </c>
      <c r="L100" t="s">
        <v>990</v>
      </c>
      <c r="M100" t="s">
        <v>1444</v>
      </c>
      <c r="N100" t="s">
        <v>934</v>
      </c>
    </row>
    <row r="101" spans="1:14">
      <c r="A101" t="s">
        <v>154</v>
      </c>
      <c r="B101" t="s">
        <v>162</v>
      </c>
      <c r="C101">
        <v>11.4404296875</v>
      </c>
      <c r="D101">
        <v>21.0016975402832</v>
      </c>
      <c r="E101">
        <v>23.450284957885739</v>
      </c>
      <c r="F101">
        <v>27.061172485351559</v>
      </c>
      <c r="G101">
        <v>55.155887603759773</v>
      </c>
      <c r="H101">
        <v>24.417276382446289</v>
      </c>
      <c r="I101">
        <v>4.7962427139282227</v>
      </c>
      <c r="J101" s="1">
        <v>3.7337156300544017E-2</v>
      </c>
      <c r="L101" t="s">
        <v>991</v>
      </c>
      <c r="M101" t="s">
        <v>1443</v>
      </c>
      <c r="N101" t="s">
        <v>936</v>
      </c>
    </row>
    <row r="102" spans="1:14">
      <c r="A102" t="s">
        <v>154</v>
      </c>
      <c r="B102" t="s">
        <v>158</v>
      </c>
      <c r="C102">
        <v>13</v>
      </c>
      <c r="D102">
        <v>22</v>
      </c>
      <c r="E102">
        <v>24</v>
      </c>
      <c r="F102">
        <v>28</v>
      </c>
      <c r="G102">
        <v>56</v>
      </c>
      <c r="H102">
        <v>25.20934457803963</v>
      </c>
      <c r="I102">
        <v>5.0050228750959391</v>
      </c>
      <c r="J102" s="1">
        <v>3.9325099250110303E-2</v>
      </c>
      <c r="L102" t="s">
        <v>993</v>
      </c>
      <c r="M102" t="s">
        <v>1450</v>
      </c>
      <c r="N102" t="s">
        <v>992</v>
      </c>
    </row>
    <row r="103" spans="1:14">
      <c r="A103" t="s">
        <v>154</v>
      </c>
      <c r="B103" t="s">
        <v>163</v>
      </c>
      <c r="C103">
        <v>12.857142448425289</v>
      </c>
      <c r="D103">
        <v>21</v>
      </c>
      <c r="E103">
        <v>23.428571701049801</v>
      </c>
      <c r="F103">
        <v>27</v>
      </c>
      <c r="G103">
        <v>55.142856597900391</v>
      </c>
      <c r="H103">
        <v>24.417795181274411</v>
      </c>
      <c r="I103">
        <v>4.8051085472106934</v>
      </c>
      <c r="J103" s="1">
        <v>3.7313630348478233E-2</v>
      </c>
      <c r="L103" t="s">
        <v>994</v>
      </c>
      <c r="M103" t="s">
        <v>1449</v>
      </c>
      <c r="N103" t="s">
        <v>938</v>
      </c>
    </row>
    <row r="104" spans="1:14">
      <c r="A104" t="s">
        <v>154</v>
      </c>
      <c r="B104" t="s">
        <v>177</v>
      </c>
      <c r="C104">
        <v>0</v>
      </c>
      <c r="D104">
        <v>0.37796446681022638</v>
      </c>
      <c r="E104">
        <v>0.53452247381210327</v>
      </c>
      <c r="F104">
        <v>0.78679579496383667</v>
      </c>
      <c r="G104">
        <v>17.0335807800293</v>
      </c>
      <c r="H104">
        <v>0.61299115419387817</v>
      </c>
      <c r="I104">
        <v>0.57395625114440918</v>
      </c>
      <c r="J104" s="1">
        <v>2.1267460667548921E-2</v>
      </c>
      <c r="L104" t="s">
        <v>995</v>
      </c>
      <c r="M104" t="s">
        <v>1448</v>
      </c>
      <c r="N104" t="s">
        <v>940</v>
      </c>
    </row>
    <row r="105" spans="1:14">
      <c r="A105" t="s">
        <v>154</v>
      </c>
      <c r="B105" t="s">
        <v>178</v>
      </c>
      <c r="C105">
        <v>-2.267783403396606</v>
      </c>
      <c r="D105">
        <v>-0.58552801609039307</v>
      </c>
      <c r="E105">
        <v>0</v>
      </c>
      <c r="F105">
        <v>0.58552801609039307</v>
      </c>
      <c r="G105">
        <v>2.2677838802337651</v>
      </c>
      <c r="H105">
        <v>3.4865129273384809E-3</v>
      </c>
      <c r="I105">
        <v>0.90728747844696045</v>
      </c>
      <c r="J105" s="1">
        <v>1.491104249375097E-2</v>
      </c>
      <c r="L105" t="s">
        <v>996</v>
      </c>
      <c r="M105" t="s">
        <v>1447</v>
      </c>
      <c r="N105" t="s">
        <v>942</v>
      </c>
    </row>
    <row r="106" spans="1:14" hidden="1">
      <c r="A106" t="s">
        <v>154</v>
      </c>
      <c r="B106" t="s">
        <v>182</v>
      </c>
      <c r="C106">
        <v>-31</v>
      </c>
      <c r="D106">
        <v>0</v>
      </c>
      <c r="E106">
        <v>0</v>
      </c>
      <c r="F106">
        <v>0</v>
      </c>
      <c r="G106">
        <v>30</v>
      </c>
      <c r="H106">
        <v>-8.00179566707866E-4</v>
      </c>
      <c r="I106">
        <v>0.9951093876357805</v>
      </c>
      <c r="J106" s="1">
        <v>2.5416325854476091E-3</v>
      </c>
      <c r="K106" t="s">
        <v>341</v>
      </c>
      <c r="L106" t="s">
        <v>1014</v>
      </c>
      <c r="M106" t="s">
        <v>1451</v>
      </c>
      <c r="N106" t="s">
        <v>1013</v>
      </c>
    </row>
    <row r="107" spans="1:14">
      <c r="A107" t="s">
        <v>154</v>
      </c>
      <c r="B107" t="s">
        <v>181</v>
      </c>
      <c r="C107">
        <v>0</v>
      </c>
      <c r="D107">
        <v>0</v>
      </c>
      <c r="E107">
        <v>0</v>
      </c>
      <c r="F107">
        <v>0</v>
      </c>
      <c r="G107">
        <v>7</v>
      </c>
      <c r="H107">
        <v>3.0324602499604229E-2</v>
      </c>
      <c r="I107">
        <v>0.44106823205947882</v>
      </c>
      <c r="J107" s="1">
        <v>1.044405234524326E-2</v>
      </c>
      <c r="L107" t="s">
        <v>1016</v>
      </c>
      <c r="M107" t="s">
        <v>1425</v>
      </c>
      <c r="N107" t="s">
        <v>1015</v>
      </c>
    </row>
    <row r="108" spans="1:14" hidden="1">
      <c r="A108" t="s">
        <v>27</v>
      </c>
      <c r="B108" t="s">
        <v>40</v>
      </c>
      <c r="C108">
        <v>0</v>
      </c>
      <c r="D108">
        <v>0</v>
      </c>
      <c r="E108">
        <v>0</v>
      </c>
      <c r="F108">
        <v>0</v>
      </c>
      <c r="G108">
        <v>42544</v>
      </c>
      <c r="H108">
        <v>1.62560834821903</v>
      </c>
      <c r="I108">
        <v>181.86216401227281</v>
      </c>
      <c r="J108" s="1">
        <v>0.26989854433171601</v>
      </c>
      <c r="K108" t="s">
        <v>344</v>
      </c>
      <c r="L108" t="s">
        <v>1019</v>
      </c>
      <c r="M108" t="s">
        <v>1476</v>
      </c>
      <c r="N108" t="s">
        <v>885</v>
      </c>
    </row>
    <row r="109" spans="1:14" hidden="1">
      <c r="A109" t="s">
        <v>27</v>
      </c>
      <c r="B109" t="s">
        <v>42</v>
      </c>
      <c r="C109">
        <v>-29584</v>
      </c>
      <c r="D109">
        <v>0</v>
      </c>
      <c r="E109">
        <v>0</v>
      </c>
      <c r="F109">
        <v>0</v>
      </c>
      <c r="G109">
        <v>44576</v>
      </c>
      <c r="H109">
        <v>1.8355337381362919</v>
      </c>
      <c r="I109">
        <v>199.16658020019531</v>
      </c>
      <c r="J109" s="1">
        <v>0.25039553006910747</v>
      </c>
      <c r="K109" t="s">
        <v>344</v>
      </c>
      <c r="L109" t="s">
        <v>1020</v>
      </c>
      <c r="M109" t="s">
        <v>1475</v>
      </c>
      <c r="N109" t="s">
        <v>887</v>
      </c>
    </row>
    <row r="110" spans="1:14" hidden="1">
      <c r="A110" t="s">
        <v>27</v>
      </c>
      <c r="B110" t="s">
        <v>34</v>
      </c>
      <c r="C110">
        <v>0</v>
      </c>
      <c r="D110">
        <v>0</v>
      </c>
      <c r="E110">
        <v>0</v>
      </c>
      <c r="F110">
        <v>0</v>
      </c>
      <c r="G110">
        <v>42544</v>
      </c>
      <c r="H110">
        <v>2.0696723399732999</v>
      </c>
      <c r="I110">
        <v>221.08504966890709</v>
      </c>
      <c r="J110" s="1">
        <v>0.31676518159094258</v>
      </c>
      <c r="K110" t="s">
        <v>344</v>
      </c>
      <c r="L110" t="s">
        <v>1021</v>
      </c>
      <c r="M110" t="s">
        <v>1474</v>
      </c>
      <c r="N110" t="s">
        <v>889</v>
      </c>
    </row>
    <row r="111" spans="1:14" hidden="1">
      <c r="A111" t="s">
        <v>27</v>
      </c>
      <c r="B111" t="s">
        <v>38</v>
      </c>
      <c r="C111">
        <v>-480</v>
      </c>
      <c r="D111">
        <v>0</v>
      </c>
      <c r="E111">
        <v>0</v>
      </c>
      <c r="F111">
        <v>0</v>
      </c>
      <c r="G111">
        <v>44576</v>
      </c>
      <c r="H111">
        <v>2.1682891845703121</v>
      </c>
      <c r="I111">
        <v>202.86769104003909</v>
      </c>
      <c r="J111" s="1">
        <v>0.29280252903984699</v>
      </c>
      <c r="K111" t="s">
        <v>344</v>
      </c>
      <c r="L111" t="s">
        <v>1022</v>
      </c>
      <c r="M111" t="s">
        <v>1473</v>
      </c>
      <c r="N111" t="s">
        <v>891</v>
      </c>
    </row>
    <row r="112" spans="1:14">
      <c r="A112" t="s">
        <v>191</v>
      </c>
      <c r="B112" t="s">
        <v>194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1.6159533697646111E-4</v>
      </c>
      <c r="I112">
        <v>1.271099783480167E-2</v>
      </c>
      <c r="J112" s="1">
        <v>1.543008381120425E-2</v>
      </c>
      <c r="L112" t="s">
        <v>1017</v>
      </c>
      <c r="M112" t="s">
        <v>1486</v>
      </c>
      <c r="N112" t="s">
        <v>1018</v>
      </c>
    </row>
    <row r="113" spans="1:14">
      <c r="A113" t="s">
        <v>196</v>
      </c>
      <c r="B113" t="s">
        <v>198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1.8159822157778199E-2</v>
      </c>
      <c r="I113">
        <v>0.13352928133648331</v>
      </c>
      <c r="J113" s="1">
        <v>0.42183502426113811</v>
      </c>
      <c r="L113" t="s">
        <v>1504</v>
      </c>
      <c r="M113" t="s">
        <v>1489</v>
      </c>
      <c r="N113" t="s">
        <v>1023</v>
      </c>
    </row>
    <row r="114" spans="1:14" hidden="1">
      <c r="A114" t="s">
        <v>27</v>
      </c>
      <c r="B114" t="s">
        <v>48</v>
      </c>
      <c r="C114">
        <v>-35136</v>
      </c>
      <c r="D114">
        <v>0</v>
      </c>
      <c r="E114">
        <v>0</v>
      </c>
      <c r="F114">
        <v>0</v>
      </c>
      <c r="G114">
        <v>24304</v>
      </c>
      <c r="H114">
        <v>0.31313110701709379</v>
      </c>
      <c r="I114">
        <v>78.923821146484457</v>
      </c>
      <c r="J114" s="1">
        <v>8.6376497643447681E-2</v>
      </c>
      <c r="K114" t="s">
        <v>344</v>
      </c>
      <c r="L114" t="s">
        <v>1025</v>
      </c>
      <c r="M114" t="s">
        <v>1480</v>
      </c>
      <c r="N114" t="s">
        <v>1024</v>
      </c>
    </row>
    <row r="115" spans="1:14">
      <c r="A115" t="s">
        <v>27</v>
      </c>
      <c r="B115" t="s">
        <v>50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3.6249765250014201E-4</v>
      </c>
      <c r="I115">
        <v>1.9035933796130149E-2</v>
      </c>
      <c r="J115" s="1">
        <v>2.2801058667842988E-2</v>
      </c>
      <c r="L115" t="s">
        <v>1026</v>
      </c>
      <c r="M115" t="s">
        <v>1466</v>
      </c>
      <c r="N115" t="s">
        <v>1027</v>
      </c>
    </row>
    <row r="116" spans="1:14" hidden="1">
      <c r="A116" t="s">
        <v>27</v>
      </c>
      <c r="B116" t="s">
        <v>41</v>
      </c>
      <c r="C116">
        <v>0</v>
      </c>
      <c r="D116">
        <v>0</v>
      </c>
      <c r="E116">
        <v>0</v>
      </c>
      <c r="F116">
        <v>0</v>
      </c>
      <c r="G116">
        <v>42544</v>
      </c>
      <c r="H116">
        <v>1.5660335332165769</v>
      </c>
      <c r="I116">
        <v>181.22752950230651</v>
      </c>
      <c r="J116" s="1">
        <v>0.2681561535068373</v>
      </c>
      <c r="K116" t="s">
        <v>344</v>
      </c>
      <c r="L116" t="s">
        <v>1028</v>
      </c>
      <c r="M116" t="s">
        <v>1472</v>
      </c>
      <c r="N116" t="s">
        <v>885</v>
      </c>
    </row>
    <row r="117" spans="1:14" hidden="1">
      <c r="A117" t="s">
        <v>27</v>
      </c>
      <c r="B117" t="s">
        <v>43</v>
      </c>
      <c r="C117">
        <v>-29584</v>
      </c>
      <c r="D117">
        <v>0</v>
      </c>
      <c r="E117">
        <v>0</v>
      </c>
      <c r="F117">
        <v>0</v>
      </c>
      <c r="G117">
        <v>44576</v>
      </c>
      <c r="H117">
        <v>1.7650811672210689</v>
      </c>
      <c r="I117">
        <v>198.3315734863281</v>
      </c>
      <c r="J117" s="1">
        <v>0.2486428466402</v>
      </c>
      <c r="K117" t="s">
        <v>344</v>
      </c>
      <c r="L117" t="s">
        <v>1029</v>
      </c>
      <c r="M117" t="s">
        <v>1471</v>
      </c>
      <c r="N117" t="s">
        <v>887</v>
      </c>
    </row>
    <row r="118" spans="1:14">
      <c r="A118" t="s">
        <v>27</v>
      </c>
      <c r="B118" t="s">
        <v>35</v>
      </c>
      <c r="C118">
        <v>0</v>
      </c>
      <c r="D118">
        <v>0</v>
      </c>
      <c r="E118">
        <v>0</v>
      </c>
      <c r="F118">
        <v>0</v>
      </c>
      <c r="G118">
        <v>42544</v>
      </c>
      <c r="H118">
        <v>2.008994018060827</v>
      </c>
      <c r="I118">
        <v>220.56300127530301</v>
      </c>
      <c r="J118" s="1">
        <v>0.31504484634612562</v>
      </c>
      <c r="L118" t="s">
        <v>1508</v>
      </c>
      <c r="M118" t="s">
        <v>1470</v>
      </c>
      <c r="N118" t="s">
        <v>889</v>
      </c>
    </row>
    <row r="119" spans="1:14" hidden="1">
      <c r="A119" t="s">
        <v>27</v>
      </c>
      <c r="B119" t="s">
        <v>39</v>
      </c>
      <c r="C119">
        <v>-480</v>
      </c>
      <c r="D119">
        <v>0</v>
      </c>
      <c r="E119">
        <v>0</v>
      </c>
      <c r="F119">
        <v>0</v>
      </c>
      <c r="G119">
        <v>44576</v>
      </c>
      <c r="H119">
        <v>2.0917599201202388</v>
      </c>
      <c r="I119">
        <v>201.91960144042969</v>
      </c>
      <c r="J119" s="1">
        <v>0.29106601970298479</v>
      </c>
      <c r="K119" t="s">
        <v>344</v>
      </c>
      <c r="L119" t="s">
        <v>1030</v>
      </c>
      <c r="M119" t="s">
        <v>1469</v>
      </c>
      <c r="N119" t="s">
        <v>891</v>
      </c>
    </row>
    <row r="120" spans="1:14">
      <c r="A120" t="s">
        <v>196</v>
      </c>
      <c r="B120" t="s">
        <v>199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1.8116147741814321E-2</v>
      </c>
      <c r="I120">
        <v>0.1333715817886153</v>
      </c>
      <c r="J120" s="1">
        <v>0.42009704455227181</v>
      </c>
      <c r="L120" t="s">
        <v>1509</v>
      </c>
      <c r="M120" t="s">
        <v>1489</v>
      </c>
      <c r="N120" t="s">
        <v>1031</v>
      </c>
    </row>
    <row r="121" spans="1:14">
      <c r="A121" t="s">
        <v>27</v>
      </c>
      <c r="B121" t="s">
        <v>47</v>
      </c>
      <c r="C121">
        <v>-35136</v>
      </c>
      <c r="D121">
        <v>0</v>
      </c>
      <c r="E121">
        <v>0</v>
      </c>
      <c r="F121">
        <v>0</v>
      </c>
      <c r="G121">
        <v>24304</v>
      </c>
      <c r="H121">
        <v>0.31099573052658802</v>
      </c>
      <c r="I121">
        <v>78.980531553395366</v>
      </c>
      <c r="J121" s="1">
        <v>8.6395166426038061E-2</v>
      </c>
      <c r="L121" t="s">
        <v>1510</v>
      </c>
      <c r="M121" t="s">
        <v>1482</v>
      </c>
      <c r="N121" t="s">
        <v>1032</v>
      </c>
    </row>
    <row r="122" spans="1:14" hidden="1">
      <c r="A122" t="s">
        <v>27</v>
      </c>
      <c r="B122" t="s">
        <v>32</v>
      </c>
      <c r="C122">
        <v>0</v>
      </c>
      <c r="D122">
        <v>0</v>
      </c>
      <c r="E122">
        <v>0</v>
      </c>
      <c r="F122">
        <v>0</v>
      </c>
      <c r="G122">
        <v>2.2933833599090581</v>
      </c>
      <c r="H122">
        <v>1.0830979590537031E-4</v>
      </c>
      <c r="I122">
        <v>1.055603474378586E-2</v>
      </c>
      <c r="J122" s="1">
        <v>0.42020879282458468</v>
      </c>
      <c r="K122" t="s">
        <v>344</v>
      </c>
      <c r="L122" t="s">
        <v>1034</v>
      </c>
      <c r="M122" t="s">
        <v>1464</v>
      </c>
      <c r="N122" t="s">
        <v>1033</v>
      </c>
    </row>
    <row r="123" spans="1:14" hidden="1">
      <c r="A123" t="s">
        <v>80</v>
      </c>
      <c r="B123" t="s">
        <v>102</v>
      </c>
      <c r="C123">
        <v>-33</v>
      </c>
      <c r="D123">
        <v>0</v>
      </c>
      <c r="E123">
        <v>0</v>
      </c>
      <c r="F123">
        <v>0</v>
      </c>
      <c r="G123">
        <v>1565</v>
      </c>
      <c r="H123">
        <v>1.024892926216125E-2</v>
      </c>
      <c r="I123">
        <v>3.2964894771575932</v>
      </c>
      <c r="J123" s="1">
        <v>3.4994853697989381E-4</v>
      </c>
      <c r="K123" t="s">
        <v>341</v>
      </c>
      <c r="L123" t="s">
        <v>1036</v>
      </c>
      <c r="M123" s="83" t="s">
        <v>1341</v>
      </c>
      <c r="N123" t="s">
        <v>1035</v>
      </c>
    </row>
    <row r="124" spans="1:14" hidden="1">
      <c r="A124" t="s">
        <v>80</v>
      </c>
      <c r="B124" t="s">
        <v>105</v>
      </c>
      <c r="C124">
        <v>0</v>
      </c>
      <c r="D124">
        <v>0</v>
      </c>
      <c r="E124">
        <v>0</v>
      </c>
      <c r="F124">
        <v>0</v>
      </c>
      <c r="G124">
        <v>1565</v>
      </c>
      <c r="H124">
        <v>1.036685053595787E-2</v>
      </c>
      <c r="I124">
        <v>3.3120287434624149</v>
      </c>
      <c r="J124" s="1">
        <v>3.1024849286864781E-4</v>
      </c>
      <c r="K124" t="s">
        <v>341</v>
      </c>
      <c r="L124" t="s">
        <v>1037</v>
      </c>
      <c r="M124" s="83" t="s">
        <v>1380</v>
      </c>
      <c r="N124" t="s">
        <v>885</v>
      </c>
    </row>
    <row r="125" spans="1:14" hidden="1">
      <c r="A125" t="s">
        <v>80</v>
      </c>
      <c r="B125" t="s">
        <v>103</v>
      </c>
      <c r="C125">
        <v>-33</v>
      </c>
      <c r="D125">
        <v>0</v>
      </c>
      <c r="E125">
        <v>0</v>
      </c>
      <c r="F125">
        <v>0</v>
      </c>
      <c r="G125">
        <v>1565</v>
      </c>
      <c r="H125">
        <v>1.024892926216125E-2</v>
      </c>
      <c r="I125">
        <v>3.2964894771575932</v>
      </c>
      <c r="J125" s="1">
        <v>3.4994853697989381E-4</v>
      </c>
      <c r="K125" t="s">
        <v>341</v>
      </c>
      <c r="L125" t="s">
        <v>1038</v>
      </c>
      <c r="M125" s="83" t="s">
        <v>1379</v>
      </c>
      <c r="N125" t="s">
        <v>887</v>
      </c>
    </row>
    <row r="126" spans="1:14" hidden="1">
      <c r="A126" t="s">
        <v>80</v>
      </c>
      <c r="B126" t="s">
        <v>100</v>
      </c>
      <c r="C126">
        <v>0</v>
      </c>
      <c r="D126">
        <v>0</v>
      </c>
      <c r="E126">
        <v>0</v>
      </c>
      <c r="F126">
        <v>0</v>
      </c>
      <c r="G126">
        <v>1565</v>
      </c>
      <c r="H126">
        <v>1.774637101998687E-2</v>
      </c>
      <c r="I126">
        <v>4.2408034092817788</v>
      </c>
      <c r="J126" s="1">
        <v>3.8964858109091782E-4</v>
      </c>
      <c r="K126" t="s">
        <v>341</v>
      </c>
      <c r="L126" t="s">
        <v>1039</v>
      </c>
      <c r="M126" s="83" t="s">
        <v>1378</v>
      </c>
      <c r="N126" t="s">
        <v>889</v>
      </c>
    </row>
    <row r="127" spans="1:14" hidden="1">
      <c r="A127" t="s">
        <v>80</v>
      </c>
      <c r="B127" t="s">
        <v>101</v>
      </c>
      <c r="C127">
        <v>-15</v>
      </c>
      <c r="D127">
        <v>0</v>
      </c>
      <c r="E127">
        <v>0</v>
      </c>
      <c r="F127">
        <v>0</v>
      </c>
      <c r="G127">
        <v>1565</v>
      </c>
      <c r="H127">
        <v>1.7820617184042931E-2</v>
      </c>
      <c r="I127">
        <v>4.2200155258178711</v>
      </c>
      <c r="J127" s="1">
        <v>3.7788560505802588E-4</v>
      </c>
      <c r="K127" t="s">
        <v>341</v>
      </c>
      <c r="L127" t="s">
        <v>1040</v>
      </c>
      <c r="M127" s="83" t="s">
        <v>1377</v>
      </c>
      <c r="N127" t="s">
        <v>891</v>
      </c>
    </row>
    <row r="128" spans="1:14">
      <c r="A128" t="s">
        <v>80</v>
      </c>
      <c r="B128" t="s">
        <v>92</v>
      </c>
      <c r="C128">
        <v>-1</v>
      </c>
      <c r="D128">
        <v>-1</v>
      </c>
      <c r="E128">
        <v>-1</v>
      </c>
      <c r="F128">
        <v>-1</v>
      </c>
      <c r="G128">
        <v>1904</v>
      </c>
      <c r="H128">
        <v>5.456206935206092</v>
      </c>
      <c r="I128">
        <v>77.497224628630235</v>
      </c>
      <c r="J128" s="1">
        <v>4.9081017497426549E-3</v>
      </c>
      <c r="L128" t="s">
        <v>1042</v>
      </c>
      <c r="M128" s="83" t="s">
        <v>1365</v>
      </c>
      <c r="N128" t="s">
        <v>1041</v>
      </c>
    </row>
    <row r="129" spans="1:14" hidden="1">
      <c r="A129" t="s">
        <v>80</v>
      </c>
      <c r="B129" t="s">
        <v>104</v>
      </c>
      <c r="C129">
        <v>-4</v>
      </c>
      <c r="D129">
        <v>0</v>
      </c>
      <c r="E129">
        <v>0</v>
      </c>
      <c r="F129">
        <v>0</v>
      </c>
      <c r="G129">
        <v>1565</v>
      </c>
      <c r="H129">
        <v>2.5563949542052699E-3</v>
      </c>
      <c r="I129">
        <v>1.8986947141892641</v>
      </c>
      <c r="J129" s="1">
        <v>3.4541887359118562E-4</v>
      </c>
      <c r="K129" t="s">
        <v>341</v>
      </c>
      <c r="L129" t="s">
        <v>1044</v>
      </c>
      <c r="M129" s="83" t="s">
        <v>1385</v>
      </c>
      <c r="N129" t="s">
        <v>1043</v>
      </c>
    </row>
    <row r="130" spans="1:14">
      <c r="A130" t="s">
        <v>80</v>
      </c>
      <c r="B130" t="s">
        <v>88</v>
      </c>
      <c r="C130">
        <v>0</v>
      </c>
      <c r="D130">
        <v>0</v>
      </c>
      <c r="E130">
        <v>0</v>
      </c>
      <c r="F130">
        <v>0</v>
      </c>
      <c r="G130">
        <v>6.8627989094238728E-5</v>
      </c>
      <c r="H130">
        <v>3.266779957655785E-9</v>
      </c>
      <c r="I130">
        <v>1.8854547079172329E-7</v>
      </c>
      <c r="J130" s="1">
        <v>9.5559476547566469E-3</v>
      </c>
      <c r="L130" t="s">
        <v>1046</v>
      </c>
      <c r="M130" s="83" t="s">
        <v>1359</v>
      </c>
      <c r="N130" t="s">
        <v>1045</v>
      </c>
    </row>
    <row r="131" spans="1:14">
      <c r="A131" t="s">
        <v>206</v>
      </c>
      <c r="B131" t="s">
        <v>228</v>
      </c>
      <c r="C131">
        <v>-134447687104</v>
      </c>
      <c r="D131">
        <v>-4138520</v>
      </c>
      <c r="E131">
        <v>78424</v>
      </c>
      <c r="F131">
        <v>5114992</v>
      </c>
      <c r="G131">
        <v>174923839142</v>
      </c>
      <c r="H131">
        <v>-216160.71836698451</v>
      </c>
      <c r="I131">
        <v>681833256.91286504</v>
      </c>
      <c r="J131" s="1">
        <v>5.3556829877959178E-2</v>
      </c>
      <c r="L131" t="s">
        <v>1496</v>
      </c>
    </row>
    <row r="132" spans="1:14" hidden="1">
      <c r="A132" t="s">
        <v>206</v>
      </c>
      <c r="B132" t="s">
        <v>212</v>
      </c>
      <c r="C132">
        <v>0</v>
      </c>
      <c r="D132">
        <v>26848431</v>
      </c>
      <c r="E132">
        <v>59268224</v>
      </c>
      <c r="F132">
        <v>99819768</v>
      </c>
      <c r="G132">
        <v>233288404760</v>
      </c>
      <c r="H132">
        <v>184172489.90259731</v>
      </c>
      <c r="I132">
        <v>2538338786.7017751</v>
      </c>
      <c r="J132" s="1">
        <v>0.11109542714306719</v>
      </c>
      <c r="K132" t="s">
        <v>344</v>
      </c>
      <c r="L132" t="s">
        <v>1064</v>
      </c>
      <c r="M132" s="83" t="s">
        <v>1322</v>
      </c>
      <c r="N132" t="s">
        <v>1063</v>
      </c>
    </row>
    <row r="133" spans="1:14">
      <c r="A133" t="s">
        <v>206</v>
      </c>
      <c r="B133" t="s">
        <v>232</v>
      </c>
      <c r="C133">
        <v>-3559713400.6153851</v>
      </c>
      <c r="D133">
        <v>-319323.69230769231</v>
      </c>
      <c r="E133">
        <v>0</v>
      </c>
      <c r="F133">
        <v>261541.07692307691</v>
      </c>
      <c r="G133">
        <v>4484333880.1538458</v>
      </c>
      <c r="H133">
        <v>-92344.005673754582</v>
      </c>
      <c r="I133">
        <v>25929860.973598689</v>
      </c>
      <c r="J133" s="1">
        <v>3.9739744155271317E-2</v>
      </c>
      <c r="L133" t="s">
        <v>1494</v>
      </c>
    </row>
    <row r="134" spans="1:14" hidden="1">
      <c r="A134" t="s">
        <v>206</v>
      </c>
      <c r="B134" t="s">
        <v>220</v>
      </c>
      <c r="C134">
        <v>-6149658192.5888042</v>
      </c>
      <c r="D134">
        <v>6511077.5637557656</v>
      </c>
      <c r="E134">
        <v>14827937.9997302</v>
      </c>
      <c r="F134">
        <v>22170547.72642646</v>
      </c>
      <c r="G134">
        <v>4652546021.8729162</v>
      </c>
      <c r="H134">
        <v>21098473.359946009</v>
      </c>
      <c r="I134">
        <v>38695417.253526472</v>
      </c>
      <c r="J134" s="1">
        <v>0.10854286134391999</v>
      </c>
      <c r="K134" t="s">
        <v>344</v>
      </c>
    </row>
    <row r="135" spans="1:14" hidden="1">
      <c r="A135" t="s">
        <v>206</v>
      </c>
      <c r="B135" t="s">
        <v>218</v>
      </c>
      <c r="C135">
        <v>0</v>
      </c>
      <c r="D135">
        <v>11570798</v>
      </c>
      <c r="E135">
        <v>24826148</v>
      </c>
      <c r="F135">
        <v>38558472</v>
      </c>
      <c r="G135">
        <v>58319558794</v>
      </c>
      <c r="H135">
        <v>61442890.027156763</v>
      </c>
      <c r="I135">
        <v>650974034.32847095</v>
      </c>
      <c r="J135" s="1">
        <v>0.1088501690927804</v>
      </c>
      <c r="K135" t="s">
        <v>344</v>
      </c>
      <c r="L135" t="s">
        <v>1066</v>
      </c>
      <c r="M135" s="83" t="s">
        <v>1327</v>
      </c>
      <c r="N135" t="s">
        <v>1065</v>
      </c>
    </row>
    <row r="136" spans="1:14">
      <c r="A136" t="s">
        <v>206</v>
      </c>
      <c r="B136" t="s">
        <v>214</v>
      </c>
      <c r="C136">
        <v>-3285628092.5714288</v>
      </c>
      <c r="D136">
        <v>6553117.1428571427</v>
      </c>
      <c r="E136">
        <v>14835770.285714289</v>
      </c>
      <c r="F136">
        <v>22314324.714285709</v>
      </c>
      <c r="G136">
        <v>4947085624</v>
      </c>
      <c r="H136">
        <v>21704584.965980709</v>
      </c>
      <c r="I136">
        <v>44069909.882015526</v>
      </c>
      <c r="J136" s="1">
        <v>0.1103675930010293</v>
      </c>
      <c r="L136" t="s">
        <v>1068</v>
      </c>
      <c r="M136" s="83" t="s">
        <v>1325</v>
      </c>
      <c r="N136" t="s">
        <v>1067</v>
      </c>
    </row>
    <row r="137" spans="1:14" hidden="1">
      <c r="A137" t="s">
        <v>206</v>
      </c>
      <c r="B137" t="s">
        <v>224</v>
      </c>
      <c r="C137">
        <v>0</v>
      </c>
      <c r="D137">
        <v>2041621.278017197</v>
      </c>
      <c r="E137">
        <v>4449221.8352441546</v>
      </c>
      <c r="F137">
        <v>7587964.7193988552</v>
      </c>
      <c r="G137">
        <v>22869614979.72747</v>
      </c>
      <c r="H137">
        <v>17598464.027942471</v>
      </c>
      <c r="I137">
        <v>256303003.48869079</v>
      </c>
      <c r="J137" s="1">
        <v>9.3511248345831521E-2</v>
      </c>
      <c r="K137" t="s">
        <v>344</v>
      </c>
      <c r="L137" t="s">
        <v>1070</v>
      </c>
      <c r="M137" s="83" t="s">
        <v>1324</v>
      </c>
      <c r="N137" t="s">
        <v>1069</v>
      </c>
    </row>
    <row r="138" spans="1:14" hidden="1">
      <c r="A138" t="s">
        <v>206</v>
      </c>
      <c r="B138" t="s">
        <v>210</v>
      </c>
      <c r="C138">
        <v>-45998793296</v>
      </c>
      <c r="D138">
        <v>89832800</v>
      </c>
      <c r="E138">
        <v>206532978</v>
      </c>
      <c r="F138">
        <v>310215698</v>
      </c>
      <c r="G138">
        <v>44640922400</v>
      </c>
      <c r="H138">
        <v>295531987.74784142</v>
      </c>
      <c r="I138">
        <v>507134139.47524792</v>
      </c>
      <c r="J138" s="1">
        <v>0.1116879870607264</v>
      </c>
      <c r="K138" t="s">
        <v>344</v>
      </c>
      <c r="L138" t="s">
        <v>1072</v>
      </c>
      <c r="M138" s="83" t="s">
        <v>1326</v>
      </c>
      <c r="N138" t="s">
        <v>1071</v>
      </c>
    </row>
    <row r="139" spans="1:14" hidden="1">
      <c r="A139" t="s">
        <v>206</v>
      </c>
      <c r="B139" t="s">
        <v>235</v>
      </c>
      <c r="C139">
        <v>-3.474396144783793</v>
      </c>
      <c r="D139">
        <v>-0.70625750789142028</v>
      </c>
      <c r="E139">
        <v>-0.1564121223934008</v>
      </c>
      <c r="F139">
        <v>0.57863855361619976</v>
      </c>
      <c r="G139">
        <v>3.4743961448603762</v>
      </c>
      <c r="H139">
        <v>-9.761564167357472E-3</v>
      </c>
      <c r="I139">
        <v>1.027754003858812</v>
      </c>
      <c r="J139" s="1">
        <v>1.7787090133803848E-2</v>
      </c>
      <c r="K139" t="s">
        <v>344</v>
      </c>
      <c r="L139" t="s">
        <v>1074</v>
      </c>
      <c r="M139" s="83" t="s">
        <v>1323</v>
      </c>
      <c r="N139" t="s">
        <v>1073</v>
      </c>
    </row>
    <row r="140" spans="1:14" hidden="1">
      <c r="A140" t="s">
        <v>206</v>
      </c>
      <c r="B140" t="s">
        <v>229</v>
      </c>
      <c r="C140">
        <v>-134447687104</v>
      </c>
      <c r="D140">
        <v>-4138520</v>
      </c>
      <c r="E140">
        <v>78424</v>
      </c>
      <c r="F140">
        <v>5114992</v>
      </c>
      <c r="G140">
        <v>174923839142</v>
      </c>
      <c r="H140">
        <v>-216160.71836698451</v>
      </c>
      <c r="I140">
        <v>681833256.91286504</v>
      </c>
      <c r="J140" s="1">
        <v>5.3556829877959178E-2</v>
      </c>
      <c r="K140" t="s">
        <v>344</v>
      </c>
    </row>
    <row r="141" spans="1:14">
      <c r="A141" t="s">
        <v>206</v>
      </c>
      <c r="B141" t="s">
        <v>207</v>
      </c>
      <c r="C141">
        <v>0</v>
      </c>
      <c r="D141">
        <v>58436886</v>
      </c>
      <c r="E141">
        <v>124623534</v>
      </c>
      <c r="F141">
        <v>199173704</v>
      </c>
      <c r="G141">
        <v>233426463616</v>
      </c>
      <c r="H141">
        <v>365686902.98651922</v>
      </c>
      <c r="I141">
        <v>3572800750.0932279</v>
      </c>
      <c r="J141" s="1">
        <v>0.1219908836935745</v>
      </c>
      <c r="L141" t="s">
        <v>1076</v>
      </c>
      <c r="M141" s="83" t="s">
        <v>1316</v>
      </c>
      <c r="N141" t="s">
        <v>1075</v>
      </c>
    </row>
    <row r="142" spans="1:14">
      <c r="A142" t="s">
        <v>206</v>
      </c>
      <c r="B142" t="s">
        <v>230</v>
      </c>
      <c r="C142">
        <v>-1868895985.481482</v>
      </c>
      <c r="D142">
        <v>-182021.9259259259</v>
      </c>
      <c r="E142">
        <v>-137.03703703703701</v>
      </c>
      <c r="F142">
        <v>131366.8148148148</v>
      </c>
      <c r="G142">
        <v>2159427277.4074068</v>
      </c>
      <c r="H142">
        <v>-58612.831972929198</v>
      </c>
      <c r="I142">
        <v>12681056.41490569</v>
      </c>
      <c r="J142" s="1">
        <v>4.9198647257756127E-2</v>
      </c>
      <c r="L142" t="s">
        <v>1078</v>
      </c>
      <c r="M142" s="83" t="s">
        <v>1315</v>
      </c>
      <c r="N142" t="s">
        <v>1077</v>
      </c>
    </row>
    <row r="143" spans="1:14" hidden="1">
      <c r="A143" t="s">
        <v>206</v>
      </c>
      <c r="B143" t="s">
        <v>219</v>
      </c>
      <c r="C143">
        <v>-3172473773.1743212</v>
      </c>
      <c r="D143">
        <v>6816379.8827341804</v>
      </c>
      <c r="E143">
        <v>15116753.30063026</v>
      </c>
      <c r="F143">
        <v>21879477.255840208</v>
      </c>
      <c r="G143">
        <v>2408337931.638289</v>
      </c>
      <c r="H143">
        <v>20943820.49348354</v>
      </c>
      <c r="I143">
        <v>30980180.484247979</v>
      </c>
      <c r="J143" s="1">
        <v>0.1087898838406117</v>
      </c>
      <c r="K143" t="s">
        <v>344</v>
      </c>
      <c r="L143" t="s">
        <v>1080</v>
      </c>
      <c r="M143" s="83" t="s">
        <v>1314</v>
      </c>
      <c r="N143" t="s">
        <v>1079</v>
      </c>
    </row>
    <row r="144" spans="1:14" hidden="1">
      <c r="A144" t="s">
        <v>206</v>
      </c>
      <c r="B144" t="s">
        <v>208</v>
      </c>
      <c r="C144">
        <v>0</v>
      </c>
      <c r="D144">
        <v>14731956</v>
      </c>
      <c r="E144">
        <v>29130432</v>
      </c>
      <c r="F144">
        <v>45226808</v>
      </c>
      <c r="G144">
        <v>58319558794</v>
      </c>
      <c r="H144">
        <v>91936632.222694397</v>
      </c>
      <c r="I144">
        <v>904722421.65900326</v>
      </c>
      <c r="J144" s="1">
        <v>0.11650492574621379</v>
      </c>
      <c r="K144" t="s">
        <v>344</v>
      </c>
      <c r="L144" t="s">
        <v>1082</v>
      </c>
      <c r="M144" s="83" t="s">
        <v>1321</v>
      </c>
      <c r="N144" t="s">
        <v>1081</v>
      </c>
    </row>
    <row r="145" spans="1:14" hidden="1">
      <c r="A145" t="s">
        <v>206</v>
      </c>
      <c r="B145" t="s">
        <v>211</v>
      </c>
      <c r="C145">
        <v>-3206434916.166667</v>
      </c>
      <c r="D145">
        <v>7025426.8571428573</v>
      </c>
      <c r="E145">
        <v>15189685.35714286</v>
      </c>
      <c r="F145">
        <v>22148607.714285709</v>
      </c>
      <c r="G145">
        <v>4947085624</v>
      </c>
      <c r="H145">
        <v>22099203.086753558</v>
      </c>
      <c r="I145">
        <v>41730921.206833906</v>
      </c>
      <c r="J145" s="1">
        <v>0.11127334215556529</v>
      </c>
      <c r="K145" t="s">
        <v>344</v>
      </c>
      <c r="L145" t="s">
        <v>1084</v>
      </c>
      <c r="M145" s="83" t="s">
        <v>1319</v>
      </c>
      <c r="N145" t="s">
        <v>1083</v>
      </c>
    </row>
    <row r="146" spans="1:14" hidden="1">
      <c r="A146" t="s">
        <v>206</v>
      </c>
      <c r="B146" t="s">
        <v>225</v>
      </c>
      <c r="C146">
        <v>0</v>
      </c>
      <c r="D146">
        <v>2644146.1772472649</v>
      </c>
      <c r="E146">
        <v>5122330.028766891</v>
      </c>
      <c r="F146">
        <v>8420593.2172857299</v>
      </c>
      <c r="G146">
        <v>15868967846.67194</v>
      </c>
      <c r="H146">
        <v>22545790.760883771</v>
      </c>
      <c r="I146">
        <v>249158224.77518189</v>
      </c>
      <c r="J146" s="1">
        <v>8.9817673871489506E-2</v>
      </c>
      <c r="K146" t="s">
        <v>344</v>
      </c>
      <c r="L146" t="s">
        <v>1086</v>
      </c>
      <c r="M146" s="83" t="s">
        <v>1318</v>
      </c>
      <c r="N146" t="s">
        <v>1085</v>
      </c>
    </row>
    <row r="147" spans="1:14" hidden="1">
      <c r="A147" t="s">
        <v>206</v>
      </c>
      <c r="B147" t="s">
        <v>213</v>
      </c>
      <c r="C147">
        <v>-45775444496</v>
      </c>
      <c r="D147">
        <v>188379768</v>
      </c>
      <c r="E147">
        <v>420736256</v>
      </c>
      <c r="F147">
        <v>611806872</v>
      </c>
      <c r="G147">
        <v>51009895848</v>
      </c>
      <c r="H147">
        <v>586466038.00592661</v>
      </c>
      <c r="I147">
        <v>869646540.71241963</v>
      </c>
      <c r="J147" s="1">
        <v>0.11060579326569631</v>
      </c>
      <c r="K147" t="s">
        <v>344</v>
      </c>
      <c r="L147" t="s">
        <v>1088</v>
      </c>
      <c r="M147" s="83" t="s">
        <v>1320</v>
      </c>
      <c r="N147" t="s">
        <v>1087</v>
      </c>
    </row>
    <row r="148" spans="1:14" hidden="1">
      <c r="A148" t="s">
        <v>206</v>
      </c>
      <c r="B148" t="s">
        <v>233</v>
      </c>
      <c r="C148">
        <v>-5.1025203854062164</v>
      </c>
      <c r="D148">
        <v>-0.71936590593163152</v>
      </c>
      <c r="E148">
        <v>-0.18049078612534519</v>
      </c>
      <c r="F148">
        <v>0.51895806671779832</v>
      </c>
      <c r="G148">
        <v>5.1025203855266517</v>
      </c>
      <c r="H148">
        <v>-2.9303304710083831E-2</v>
      </c>
      <c r="I148">
        <v>1.0664938461225011</v>
      </c>
      <c r="J148" s="1">
        <v>2.0766063814144978E-2</v>
      </c>
      <c r="K148" t="s">
        <v>344</v>
      </c>
      <c r="L148" t="s">
        <v>1090</v>
      </c>
      <c r="M148" s="83" t="s">
        <v>1317</v>
      </c>
      <c r="N148" t="s">
        <v>1089</v>
      </c>
    </row>
    <row r="149" spans="1:14" hidden="1">
      <c r="A149" t="s">
        <v>206</v>
      </c>
      <c r="B149" t="s">
        <v>227</v>
      </c>
      <c r="C149">
        <v>-134447687104</v>
      </c>
      <c r="D149">
        <v>-4138520</v>
      </c>
      <c r="E149">
        <v>78424</v>
      </c>
      <c r="F149">
        <v>5114992</v>
      </c>
      <c r="G149">
        <v>174923839142</v>
      </c>
      <c r="H149">
        <v>-216160.71836698451</v>
      </c>
      <c r="I149">
        <v>681833256.91286504</v>
      </c>
      <c r="J149" s="1">
        <v>5.3556829877959178E-2</v>
      </c>
      <c r="K149" t="s">
        <v>344</v>
      </c>
    </row>
    <row r="150" spans="1:14" hidden="1">
      <c r="A150" t="s">
        <v>206</v>
      </c>
      <c r="B150" t="s">
        <v>215</v>
      </c>
      <c r="C150">
        <v>0</v>
      </c>
      <c r="D150">
        <v>11791496</v>
      </c>
      <c r="E150">
        <v>27659664</v>
      </c>
      <c r="F150">
        <v>49822376</v>
      </c>
      <c r="G150">
        <v>233254739792</v>
      </c>
      <c r="H150">
        <v>89054524.67992039</v>
      </c>
      <c r="I150">
        <v>1686433061.3173029</v>
      </c>
      <c r="J150" s="1">
        <v>0.1099485369798559</v>
      </c>
      <c r="K150" t="s">
        <v>344</v>
      </c>
      <c r="L150" t="s">
        <v>1048</v>
      </c>
      <c r="M150" s="83" t="s">
        <v>1330</v>
      </c>
      <c r="N150" t="s">
        <v>1047</v>
      </c>
    </row>
    <row r="151" spans="1:14">
      <c r="A151" t="s">
        <v>206</v>
      </c>
      <c r="B151" t="s">
        <v>231</v>
      </c>
      <c r="C151">
        <v>-7713249846.666667</v>
      </c>
      <c r="D151">
        <v>-580585.33333333337</v>
      </c>
      <c r="E151">
        <v>0</v>
      </c>
      <c r="F151">
        <v>531301</v>
      </c>
      <c r="G151">
        <v>9719137225.666666</v>
      </c>
      <c r="H151">
        <v>-47445.181274303002</v>
      </c>
      <c r="I151">
        <v>57913543.750956513</v>
      </c>
      <c r="J151" s="1">
        <v>4.7904719894133141E-2</v>
      </c>
      <c r="L151" t="s">
        <v>1050</v>
      </c>
      <c r="M151" s="83" t="s">
        <v>1329</v>
      </c>
      <c r="N151" t="s">
        <v>1049</v>
      </c>
    </row>
    <row r="152" spans="1:14" hidden="1">
      <c r="A152" t="s">
        <v>206</v>
      </c>
      <c r="B152" t="s">
        <v>216</v>
      </c>
      <c r="C152">
        <v>-11547380077.21406</v>
      </c>
      <c r="D152">
        <v>6230797.1464769961</v>
      </c>
      <c r="E152">
        <v>14562120.435623581</v>
      </c>
      <c r="F152">
        <v>22348706.85768212</v>
      </c>
      <c r="G152">
        <v>8720354803.5219994</v>
      </c>
      <c r="H152">
        <v>21164587.592202939</v>
      </c>
      <c r="I152">
        <v>55359131.261762097</v>
      </c>
      <c r="J152" s="1">
        <v>0.10902661373327451</v>
      </c>
      <c r="K152" t="s">
        <v>344</v>
      </c>
      <c r="L152" t="s">
        <v>1052</v>
      </c>
      <c r="M152" s="83" t="s">
        <v>1328</v>
      </c>
      <c r="N152" t="s">
        <v>1051</v>
      </c>
    </row>
    <row r="153" spans="1:14">
      <c r="A153" t="s">
        <v>206</v>
      </c>
      <c r="B153" t="s">
        <v>222</v>
      </c>
      <c r="C153">
        <v>0</v>
      </c>
      <c r="D153">
        <v>9237082</v>
      </c>
      <c r="E153">
        <v>21231224</v>
      </c>
      <c r="F153">
        <v>33425592</v>
      </c>
      <c r="G153">
        <v>58319558794</v>
      </c>
      <c r="H153">
        <v>42974518.473828107</v>
      </c>
      <c r="I153">
        <v>439612110.12412012</v>
      </c>
      <c r="J153" s="1">
        <v>0.103517129833848</v>
      </c>
      <c r="L153" t="s">
        <v>1054</v>
      </c>
      <c r="M153" s="83" t="s">
        <v>1335</v>
      </c>
      <c r="N153" t="s">
        <v>1053</v>
      </c>
    </row>
    <row r="154" spans="1:14" hidden="1">
      <c r="A154" t="s">
        <v>206</v>
      </c>
      <c r="B154" t="s">
        <v>221</v>
      </c>
      <c r="C154">
        <v>-6587943776</v>
      </c>
      <c r="D154">
        <v>6197974.4285714282</v>
      </c>
      <c r="E154">
        <v>14563031</v>
      </c>
      <c r="F154">
        <v>22418978.285714291</v>
      </c>
      <c r="G154">
        <v>5742294501.7142859</v>
      </c>
      <c r="H154">
        <v>21462506.963577349</v>
      </c>
      <c r="I154">
        <v>55201721.730885781</v>
      </c>
      <c r="J154" s="1">
        <v>0.1077929716218203</v>
      </c>
      <c r="K154" t="s">
        <v>344</v>
      </c>
      <c r="L154" t="s">
        <v>1056</v>
      </c>
      <c r="M154" s="83" t="s">
        <v>1333</v>
      </c>
      <c r="N154" t="s">
        <v>1055</v>
      </c>
    </row>
    <row r="155" spans="1:14" hidden="1">
      <c r="A155" t="s">
        <v>206</v>
      </c>
      <c r="B155" t="s">
        <v>223</v>
      </c>
      <c r="C155">
        <v>0</v>
      </c>
      <c r="D155">
        <v>1563261.6776485541</v>
      </c>
      <c r="E155">
        <v>3761822.3392006368</v>
      </c>
      <c r="F155">
        <v>6820130.0750479056</v>
      </c>
      <c r="G155">
        <v>33663160827.656559</v>
      </c>
      <c r="H155">
        <v>13484588.95555819</v>
      </c>
      <c r="I155">
        <v>253219601.17705831</v>
      </c>
      <c r="J155" s="1">
        <v>0.1010880752830466</v>
      </c>
      <c r="K155" t="s">
        <v>344</v>
      </c>
      <c r="L155" t="s">
        <v>1058</v>
      </c>
      <c r="M155" s="83" t="s">
        <v>1332</v>
      </c>
      <c r="N155" t="s">
        <v>1057</v>
      </c>
    </row>
    <row r="156" spans="1:14" hidden="1">
      <c r="A156" t="s">
        <v>206</v>
      </c>
      <c r="B156" t="s">
        <v>217</v>
      </c>
      <c r="C156">
        <v>-46115606432</v>
      </c>
      <c r="D156">
        <v>42938136</v>
      </c>
      <c r="E156">
        <v>101702920</v>
      </c>
      <c r="F156">
        <v>156358480</v>
      </c>
      <c r="G156">
        <v>40196061512</v>
      </c>
      <c r="H156">
        <v>148107564.7022613</v>
      </c>
      <c r="I156">
        <v>353151841.77317202</v>
      </c>
      <c r="J156" s="1">
        <v>0.1088722246728422</v>
      </c>
      <c r="K156" t="s">
        <v>344</v>
      </c>
      <c r="L156" t="s">
        <v>1060</v>
      </c>
      <c r="M156" s="83" t="s">
        <v>1334</v>
      </c>
      <c r="N156" t="s">
        <v>1059</v>
      </c>
    </row>
    <row r="157" spans="1:14">
      <c r="A157" t="s">
        <v>206</v>
      </c>
      <c r="B157" t="s">
        <v>234</v>
      </c>
      <c r="C157">
        <v>-2.2677868380287922</v>
      </c>
      <c r="D157">
        <v>-0.71063382570577993</v>
      </c>
      <c r="E157">
        <v>-0.13230218368517671</v>
      </c>
      <c r="F157">
        <v>0.6701039502314019</v>
      </c>
      <c r="G157">
        <v>2.2677868380548492</v>
      </c>
      <c r="H157">
        <v>4.9029530435687918E-4</v>
      </c>
      <c r="I157">
        <v>0.96533289689741819</v>
      </c>
      <c r="J157" s="1">
        <v>2.0383767093074601E-2</v>
      </c>
      <c r="L157" t="s">
        <v>1062</v>
      </c>
      <c r="M157" s="83" t="s">
        <v>1331</v>
      </c>
      <c r="N157" t="s">
        <v>1061</v>
      </c>
    </row>
    <row r="158" spans="1:14">
      <c r="A158" t="s">
        <v>206</v>
      </c>
      <c r="B158" t="s">
        <v>209</v>
      </c>
      <c r="C158">
        <v>-46260015600</v>
      </c>
      <c r="D158">
        <v>5557448</v>
      </c>
      <c r="E158">
        <v>13548420</v>
      </c>
      <c r="F158">
        <v>22873889</v>
      </c>
      <c r="G158">
        <v>58319558794</v>
      </c>
      <c r="H158">
        <v>21358434.42524014</v>
      </c>
      <c r="I158">
        <v>226136614.7826277</v>
      </c>
      <c r="J158" s="1">
        <v>0.1133489347760006</v>
      </c>
      <c r="L158" t="s">
        <v>1511</v>
      </c>
      <c r="M158" s="83" t="s">
        <v>1336</v>
      </c>
      <c r="N158" t="s">
        <v>1091</v>
      </c>
    </row>
    <row r="159" spans="1:14">
      <c r="A159" t="s">
        <v>236</v>
      </c>
      <c r="B159" t="s">
        <v>270</v>
      </c>
      <c r="C159">
        <v>-3054263637352</v>
      </c>
      <c r="D159">
        <v>-35286183</v>
      </c>
      <c r="E159">
        <v>0</v>
      </c>
      <c r="F159">
        <v>31801155</v>
      </c>
      <c r="G159">
        <v>1155460098334</v>
      </c>
      <c r="H159">
        <v>-3194077.0008225348</v>
      </c>
      <c r="I159">
        <v>5899950503.9016094</v>
      </c>
      <c r="J159" s="1">
        <v>2.1842376121158691E-2</v>
      </c>
      <c r="L159" t="s">
        <v>1495</v>
      </c>
    </row>
    <row r="160" spans="1:14" hidden="1">
      <c r="A160" t="s">
        <v>236</v>
      </c>
      <c r="B160" t="s">
        <v>242</v>
      </c>
      <c r="C160">
        <v>0</v>
      </c>
      <c r="D160">
        <v>146795278</v>
      </c>
      <c r="E160">
        <v>495640341</v>
      </c>
      <c r="F160">
        <v>942754619</v>
      </c>
      <c r="G160">
        <v>10945950839158</v>
      </c>
      <c r="H160">
        <v>2291746683.3497529</v>
      </c>
      <c r="I160">
        <v>33279577660.317822</v>
      </c>
      <c r="J160" s="1">
        <v>4.5444787531245368E-2</v>
      </c>
      <c r="K160" t="s">
        <v>343</v>
      </c>
      <c r="L160" t="s">
        <v>1100</v>
      </c>
      <c r="M160" s="83" t="s">
        <v>1298</v>
      </c>
      <c r="N160" t="s">
        <v>1063</v>
      </c>
    </row>
    <row r="161" spans="1:16">
      <c r="A161" t="s">
        <v>236</v>
      </c>
      <c r="B161" t="s">
        <v>265</v>
      </c>
      <c r="C161">
        <v>-232620356833.30771</v>
      </c>
      <c r="D161">
        <v>-2121360.307692308</v>
      </c>
      <c r="E161">
        <v>0</v>
      </c>
      <c r="F161">
        <v>2061372.461538462</v>
      </c>
      <c r="G161">
        <v>105116568838.69231</v>
      </c>
      <c r="H161">
        <v>261111.58231468371</v>
      </c>
      <c r="I161">
        <v>517858299.81282449</v>
      </c>
      <c r="J161" s="1">
        <v>2.8641376268195851E-2</v>
      </c>
      <c r="L161" t="s">
        <v>1102</v>
      </c>
      <c r="M161" s="83" t="s">
        <v>1297</v>
      </c>
      <c r="N161" t="s">
        <v>1101</v>
      </c>
    </row>
    <row r="162" spans="1:16" hidden="1">
      <c r="A162" t="s">
        <v>236</v>
      </c>
      <c r="B162" t="s">
        <v>257</v>
      </c>
      <c r="C162">
        <v>-29962448306.08569</v>
      </c>
      <c r="D162">
        <v>45866346.460698128</v>
      </c>
      <c r="E162">
        <v>157351866.60769099</v>
      </c>
      <c r="F162">
        <v>222946914.02997339</v>
      </c>
      <c r="G162">
        <v>1640232064145.252</v>
      </c>
      <c r="H162">
        <v>244919500.35141701</v>
      </c>
      <c r="I162">
        <v>4519676579.329874</v>
      </c>
      <c r="J162" s="1">
        <v>3.3364211145419792E-2</v>
      </c>
      <c r="K162" t="s">
        <v>343</v>
      </c>
      <c r="L162" t="s">
        <v>1104</v>
      </c>
      <c r="M162" s="83" t="s">
        <v>1296</v>
      </c>
      <c r="N162" t="s">
        <v>1103</v>
      </c>
    </row>
    <row r="163" spans="1:16" hidden="1">
      <c r="A163" t="s">
        <v>236</v>
      </c>
      <c r="B163" t="s">
        <v>254</v>
      </c>
      <c r="C163">
        <v>0</v>
      </c>
      <c r="D163">
        <v>65736836</v>
      </c>
      <c r="E163">
        <v>219845641</v>
      </c>
      <c r="F163">
        <v>347660185</v>
      </c>
      <c r="G163">
        <v>3075662719389</v>
      </c>
      <c r="H163">
        <v>816520596.32495081</v>
      </c>
      <c r="I163">
        <v>11927862877.467991</v>
      </c>
      <c r="J163" s="1">
        <v>3.5419791207175422E-2</v>
      </c>
      <c r="K163" t="s">
        <v>343</v>
      </c>
      <c r="L163" t="s">
        <v>1105</v>
      </c>
      <c r="M163" s="83" t="s">
        <v>1303</v>
      </c>
      <c r="N163" t="s">
        <v>1065</v>
      </c>
    </row>
    <row r="164" spans="1:16">
      <c r="A164" t="s">
        <v>236</v>
      </c>
      <c r="B164" t="s">
        <v>250</v>
      </c>
      <c r="C164">
        <v>-12753609948.92857</v>
      </c>
      <c r="D164">
        <v>43569066.071428567</v>
      </c>
      <c r="E164">
        <v>156688941.3571429</v>
      </c>
      <c r="F164">
        <v>221816997.4285714</v>
      </c>
      <c r="G164">
        <v>1721215314106.2141</v>
      </c>
      <c r="H164">
        <v>246040947.40944141</v>
      </c>
      <c r="I164">
        <v>4828734115.1601992</v>
      </c>
      <c r="J164" s="1">
        <v>3.6956329951477733E-2</v>
      </c>
      <c r="L164" t="s">
        <v>1106</v>
      </c>
      <c r="M164" s="83" t="s">
        <v>1301</v>
      </c>
      <c r="N164" t="s">
        <v>1067</v>
      </c>
    </row>
    <row r="165" spans="1:16" hidden="1">
      <c r="A165" t="s">
        <v>236</v>
      </c>
      <c r="B165" t="s">
        <v>241</v>
      </c>
      <c r="C165">
        <v>0</v>
      </c>
      <c r="D165">
        <v>10147900.958889561</v>
      </c>
      <c r="E165">
        <v>37239288.783436708</v>
      </c>
      <c r="F165">
        <v>71951849.372236922</v>
      </c>
      <c r="G165">
        <v>1093911553569.953</v>
      </c>
      <c r="H165">
        <v>228870058.701435</v>
      </c>
      <c r="I165">
        <v>3510302151.2304392</v>
      </c>
      <c r="J165" s="1">
        <v>4.6129980885163957E-2</v>
      </c>
      <c r="K165" t="s">
        <v>343</v>
      </c>
      <c r="L165" t="s">
        <v>1107</v>
      </c>
      <c r="M165" s="83" t="s">
        <v>1300</v>
      </c>
      <c r="N165" t="s">
        <v>1069</v>
      </c>
      <c r="P165" t="s">
        <v>1535</v>
      </c>
    </row>
    <row r="166" spans="1:16" hidden="1">
      <c r="A166" t="s">
        <v>236</v>
      </c>
      <c r="B166" t="s">
        <v>261</v>
      </c>
      <c r="C166">
        <v>-178550539285</v>
      </c>
      <c r="D166">
        <v>601159190</v>
      </c>
      <c r="E166">
        <v>2190921142</v>
      </c>
      <c r="F166">
        <v>3103046696</v>
      </c>
      <c r="G166">
        <v>24097014397487</v>
      </c>
      <c r="H166">
        <v>3430623893.2790451</v>
      </c>
      <c r="I166">
        <v>67599105694.776657</v>
      </c>
      <c r="J166" s="1">
        <v>3.2508454639023673E-2</v>
      </c>
      <c r="K166" t="s">
        <v>343</v>
      </c>
      <c r="L166" t="s">
        <v>1108</v>
      </c>
      <c r="M166" s="83" t="s">
        <v>1302</v>
      </c>
      <c r="N166" t="s">
        <v>1071</v>
      </c>
      <c r="P166" t="s">
        <v>1536</v>
      </c>
    </row>
    <row r="167" spans="1:16" hidden="1">
      <c r="A167" t="s">
        <v>236</v>
      </c>
      <c r="B167" t="s">
        <v>273</v>
      </c>
      <c r="C167">
        <v>-3.4743961435459072</v>
      </c>
      <c r="D167">
        <v>-0.66894578274265226</v>
      </c>
      <c r="E167">
        <v>-9.6246363187666717E-2</v>
      </c>
      <c r="F167">
        <v>0.62078853716878679</v>
      </c>
      <c r="G167">
        <v>3.4743961448614051</v>
      </c>
      <c r="H167">
        <v>-7.7546340092127259E-3</v>
      </c>
      <c r="I167">
        <v>1.0274315129539191</v>
      </c>
      <c r="J167" s="1">
        <v>2.1277753271577719E-2</v>
      </c>
      <c r="K167" t="s">
        <v>343</v>
      </c>
      <c r="L167" t="s">
        <v>1109</v>
      </c>
      <c r="M167" s="83" t="s">
        <v>1299</v>
      </c>
      <c r="N167" t="s">
        <v>1073</v>
      </c>
      <c r="P167" t="s">
        <v>28</v>
      </c>
    </row>
    <row r="168" spans="1:16" hidden="1">
      <c r="A168" t="s">
        <v>236</v>
      </c>
      <c r="B168" t="s">
        <v>271</v>
      </c>
      <c r="C168">
        <v>-3054263637352</v>
      </c>
      <c r="D168">
        <v>-35286183</v>
      </c>
      <c r="E168">
        <v>0</v>
      </c>
      <c r="F168">
        <v>31801155</v>
      </c>
      <c r="G168">
        <v>1155460098334</v>
      </c>
      <c r="H168">
        <v>-3194077.0008225348</v>
      </c>
      <c r="I168">
        <v>5899950503.9016094</v>
      </c>
      <c r="J168" s="1">
        <v>2.1842376121158691E-2</v>
      </c>
      <c r="K168" t="s">
        <v>343</v>
      </c>
    </row>
    <row r="169" spans="1:16">
      <c r="A169" t="s">
        <v>236</v>
      </c>
      <c r="B169" t="s">
        <v>553</v>
      </c>
      <c r="C169">
        <v>0</v>
      </c>
      <c r="D169">
        <v>302676140</v>
      </c>
      <c r="E169">
        <v>1070453105</v>
      </c>
      <c r="F169">
        <v>1985996412</v>
      </c>
      <c r="G169">
        <v>16392423692631</v>
      </c>
      <c r="H169">
        <v>4517357889.5024643</v>
      </c>
      <c r="I169">
        <v>55983887239.783997</v>
      </c>
      <c r="J169" s="1">
        <v>5.4161152771651233E-2</v>
      </c>
      <c r="L169" t="s">
        <v>1110</v>
      </c>
      <c r="M169" s="83" t="s">
        <v>1290</v>
      </c>
      <c r="N169" t="s">
        <v>1075</v>
      </c>
    </row>
    <row r="170" spans="1:16">
      <c r="A170" t="s">
        <v>236</v>
      </c>
      <c r="B170" t="s">
        <v>266</v>
      </c>
      <c r="C170">
        <v>-75578472083.703705</v>
      </c>
      <c r="D170">
        <v>-1083740.9259259261</v>
      </c>
      <c r="E170">
        <v>0</v>
      </c>
      <c r="F170">
        <v>1037747.7037037041</v>
      </c>
      <c r="G170">
        <v>54588300455.444443</v>
      </c>
      <c r="H170">
        <v>532849.53703512286</v>
      </c>
      <c r="I170">
        <v>240901435.39675999</v>
      </c>
      <c r="J170" s="1">
        <v>2.6762240846934349E-2</v>
      </c>
      <c r="L170" t="s">
        <v>1111</v>
      </c>
      <c r="M170" s="83" t="s">
        <v>1289</v>
      </c>
      <c r="N170" t="s">
        <v>1077</v>
      </c>
    </row>
    <row r="171" spans="1:16" hidden="1">
      <c r="A171" t="s">
        <v>236</v>
      </c>
      <c r="B171" t="s">
        <v>260</v>
      </c>
      <c r="C171">
        <v>-51202273940.768112</v>
      </c>
      <c r="D171">
        <v>49964405.279343359</v>
      </c>
      <c r="E171">
        <v>159217034.97463971</v>
      </c>
      <c r="F171">
        <v>222110668.84720689</v>
      </c>
      <c r="G171">
        <v>1242162486474.803</v>
      </c>
      <c r="H171">
        <v>240152390.68378401</v>
      </c>
      <c r="I171">
        <v>4026700782.2495828</v>
      </c>
      <c r="J171" s="1">
        <v>3.2586384355241887E-2</v>
      </c>
      <c r="K171" t="s">
        <v>343</v>
      </c>
      <c r="L171" t="s">
        <v>1112</v>
      </c>
      <c r="M171" s="83" t="s">
        <v>1288</v>
      </c>
      <c r="N171" t="s">
        <v>1079</v>
      </c>
    </row>
    <row r="172" spans="1:16" hidden="1">
      <c r="A172" t="s">
        <v>236</v>
      </c>
      <c r="B172" t="s">
        <v>240</v>
      </c>
      <c r="C172">
        <v>0</v>
      </c>
      <c r="D172">
        <v>79305530</v>
      </c>
      <c r="E172">
        <v>268122981</v>
      </c>
      <c r="F172">
        <v>393801455</v>
      </c>
      <c r="G172">
        <v>3075662719389</v>
      </c>
      <c r="H172">
        <v>1208670292.6816339</v>
      </c>
      <c r="I172">
        <v>14171585948.67354</v>
      </c>
      <c r="J172" s="1">
        <v>4.8650198500220572E-2</v>
      </c>
      <c r="K172" t="s">
        <v>343</v>
      </c>
      <c r="L172" t="s">
        <v>1113</v>
      </c>
      <c r="M172" s="83" t="s">
        <v>1295</v>
      </c>
      <c r="N172" t="s">
        <v>1081</v>
      </c>
    </row>
    <row r="173" spans="1:16" hidden="1">
      <c r="A173" t="s">
        <v>236</v>
      </c>
      <c r="B173" t="s">
        <v>246</v>
      </c>
      <c r="C173">
        <v>-92357276769.178574</v>
      </c>
      <c r="D173">
        <v>46535091.571428567</v>
      </c>
      <c r="E173">
        <v>159266022.5357143</v>
      </c>
      <c r="F173">
        <v>220706816.4642857</v>
      </c>
      <c r="G173">
        <v>1461225135206.6069</v>
      </c>
      <c r="H173">
        <v>241946259.2182833</v>
      </c>
      <c r="I173">
        <v>4243947844.6109838</v>
      </c>
      <c r="J173" s="1">
        <v>4.0926334362593728E-2</v>
      </c>
      <c r="K173" t="s">
        <v>343</v>
      </c>
      <c r="L173" t="s">
        <v>1114</v>
      </c>
      <c r="M173" s="83" t="s">
        <v>1293</v>
      </c>
      <c r="N173" t="s">
        <v>1083</v>
      </c>
    </row>
    <row r="174" spans="1:16" hidden="1">
      <c r="A174" t="s">
        <v>236</v>
      </c>
      <c r="B174" t="s">
        <v>238</v>
      </c>
      <c r="C174">
        <v>0</v>
      </c>
      <c r="D174">
        <v>11694596.34096441</v>
      </c>
      <c r="E174">
        <v>44202894.672478653</v>
      </c>
      <c r="F174">
        <v>79053884.202979624</v>
      </c>
      <c r="G174">
        <v>890270832260.48816</v>
      </c>
      <c r="H174">
        <v>281176569.41292411</v>
      </c>
      <c r="I174">
        <v>3830805211.1159539</v>
      </c>
      <c r="J174" s="1">
        <v>5.5684458167916451E-2</v>
      </c>
      <c r="K174" t="s">
        <v>343</v>
      </c>
      <c r="L174" t="s">
        <v>1115</v>
      </c>
      <c r="M174" s="83" t="s">
        <v>1292</v>
      </c>
      <c r="N174" t="s">
        <v>1085</v>
      </c>
    </row>
    <row r="175" spans="1:16" hidden="1">
      <c r="A175" t="s">
        <v>236</v>
      </c>
      <c r="B175" t="s">
        <v>258</v>
      </c>
      <c r="C175">
        <v>-2586003749537</v>
      </c>
      <c r="D175">
        <v>1265516731</v>
      </c>
      <c r="E175">
        <v>4445726857</v>
      </c>
      <c r="F175">
        <v>6170685633</v>
      </c>
      <c r="G175">
        <v>40914303785785</v>
      </c>
      <c r="H175">
        <v>6723325203.9464273</v>
      </c>
      <c r="I175">
        <v>118818512140.9353</v>
      </c>
      <c r="J175" s="1">
        <v>3.305102190854281E-2</v>
      </c>
      <c r="K175" t="s">
        <v>343</v>
      </c>
      <c r="L175" t="s">
        <v>1116</v>
      </c>
      <c r="M175" s="83" t="s">
        <v>1294</v>
      </c>
      <c r="N175" t="s">
        <v>1087</v>
      </c>
    </row>
    <row r="176" spans="1:16" hidden="1">
      <c r="A176" t="s">
        <v>236</v>
      </c>
      <c r="B176" t="s">
        <v>268</v>
      </c>
      <c r="C176">
        <v>-5.1025203823562286</v>
      </c>
      <c r="D176">
        <v>-0.62962454585966299</v>
      </c>
      <c r="E176">
        <v>-0.14045922996230381</v>
      </c>
      <c r="F176">
        <v>0.53998736062639052</v>
      </c>
      <c r="G176">
        <v>5.102516323209449</v>
      </c>
      <c r="H176">
        <v>-1.2861134660074981E-2</v>
      </c>
      <c r="I176">
        <v>1.0572865919670209</v>
      </c>
      <c r="J176" s="1">
        <v>2.3042199676518101E-2</v>
      </c>
      <c r="K176" t="s">
        <v>343</v>
      </c>
      <c r="L176" t="s">
        <v>1117</v>
      </c>
      <c r="M176" s="83" t="s">
        <v>1291</v>
      </c>
      <c r="N176" t="s">
        <v>1089</v>
      </c>
    </row>
    <row r="177" spans="1:14" hidden="1">
      <c r="A177" t="s">
        <v>236</v>
      </c>
      <c r="B177" t="s">
        <v>272</v>
      </c>
      <c r="C177">
        <v>-3054263637352</v>
      </c>
      <c r="D177">
        <v>-35286183</v>
      </c>
      <c r="E177">
        <v>0</v>
      </c>
      <c r="F177">
        <v>31801155</v>
      </c>
      <c r="G177">
        <v>1155460098334</v>
      </c>
      <c r="H177">
        <v>-3194077.0008225348</v>
      </c>
      <c r="I177">
        <v>5899950503.9016094</v>
      </c>
      <c r="J177" s="1">
        <v>2.1842376121158691E-2</v>
      </c>
      <c r="K177" t="s">
        <v>343</v>
      </c>
      <c r="M177" s="83"/>
    </row>
    <row r="178" spans="1:14" hidden="1">
      <c r="A178" t="s">
        <v>236</v>
      </c>
      <c r="B178" t="s">
        <v>243</v>
      </c>
      <c r="C178">
        <v>0</v>
      </c>
      <c r="D178">
        <v>70453573</v>
      </c>
      <c r="E178">
        <v>227412997</v>
      </c>
      <c r="F178">
        <v>447719723</v>
      </c>
      <c r="G178">
        <v>5601655510730</v>
      </c>
      <c r="H178">
        <v>1157774535.3981929</v>
      </c>
      <c r="I178">
        <v>19457872353.495899</v>
      </c>
      <c r="J178" s="1">
        <v>4.3805322746654829E-2</v>
      </c>
      <c r="K178" t="s">
        <v>343</v>
      </c>
      <c r="L178" t="s">
        <v>1092</v>
      </c>
      <c r="M178" s="83" t="s">
        <v>1306</v>
      </c>
      <c r="N178" t="s">
        <v>1047</v>
      </c>
    </row>
    <row r="179" spans="1:14">
      <c r="A179" t="s">
        <v>236</v>
      </c>
      <c r="B179" t="s">
        <v>263</v>
      </c>
      <c r="C179">
        <v>-468287183763</v>
      </c>
      <c r="D179">
        <v>-4090759.5</v>
      </c>
      <c r="E179">
        <v>0</v>
      </c>
      <c r="F179">
        <v>4075163.666666667</v>
      </c>
      <c r="G179">
        <v>244944924204.5</v>
      </c>
      <c r="H179">
        <v>-784185.23186893039</v>
      </c>
      <c r="I179">
        <v>1046909634.827215</v>
      </c>
      <c r="J179" s="1">
        <v>2.992648139979415E-2</v>
      </c>
      <c r="L179" t="s">
        <v>1093</v>
      </c>
      <c r="M179" s="83" t="s">
        <v>1305</v>
      </c>
      <c r="N179" t="s">
        <v>1049</v>
      </c>
    </row>
    <row r="180" spans="1:14" hidden="1">
      <c r="A180" t="s">
        <v>236</v>
      </c>
      <c r="B180" t="s">
        <v>256</v>
      </c>
      <c r="C180">
        <v>-44716253437.054298</v>
      </c>
      <c r="D180">
        <v>43235979.44085364</v>
      </c>
      <c r="E180">
        <v>154439142.64878669</v>
      </c>
      <c r="F180">
        <v>221375495.12152591</v>
      </c>
      <c r="G180">
        <v>1889701439510.321</v>
      </c>
      <c r="H180">
        <v>247128510.92118421</v>
      </c>
      <c r="I180">
        <v>4825400353.1863098</v>
      </c>
      <c r="J180" s="1">
        <v>3.3947948831054259E-2</v>
      </c>
      <c r="K180" t="s">
        <v>343</v>
      </c>
      <c r="L180" t="s">
        <v>1094</v>
      </c>
      <c r="M180" s="83" t="s">
        <v>1304</v>
      </c>
      <c r="N180" t="s">
        <v>1051</v>
      </c>
    </row>
    <row r="181" spans="1:14" hidden="1">
      <c r="A181" t="s">
        <v>236</v>
      </c>
      <c r="B181" t="s">
        <v>251</v>
      </c>
      <c r="C181">
        <v>0</v>
      </c>
      <c r="D181">
        <v>56959003</v>
      </c>
      <c r="E181">
        <v>196471874</v>
      </c>
      <c r="F181">
        <v>309506305</v>
      </c>
      <c r="G181">
        <v>2861321183134</v>
      </c>
      <c r="H181">
        <v>577408587.87707543</v>
      </c>
      <c r="I181">
        <v>10240645749.059271</v>
      </c>
      <c r="J181" s="1">
        <v>3.6913689163358347E-2</v>
      </c>
      <c r="K181" t="s">
        <v>343</v>
      </c>
      <c r="L181" t="s">
        <v>1095</v>
      </c>
      <c r="M181" s="83" t="s">
        <v>1311</v>
      </c>
      <c r="N181" t="s">
        <v>1053</v>
      </c>
    </row>
    <row r="182" spans="1:14" hidden="1">
      <c r="A182" t="s">
        <v>236</v>
      </c>
      <c r="B182" t="s">
        <v>255</v>
      </c>
      <c r="C182">
        <v>-25538684057.85714</v>
      </c>
      <c r="D182">
        <v>41803072.285714284</v>
      </c>
      <c r="E182">
        <v>152516226</v>
      </c>
      <c r="F182">
        <v>219739726.4285714</v>
      </c>
      <c r="G182">
        <v>1813593458763.8569</v>
      </c>
      <c r="H182">
        <v>248255175.07184961</v>
      </c>
      <c r="I182">
        <v>4890760736.0007505</v>
      </c>
      <c r="J182" s="1">
        <v>3.5391854139097192E-2</v>
      </c>
      <c r="K182" t="s">
        <v>343</v>
      </c>
      <c r="L182" t="s">
        <v>1096</v>
      </c>
      <c r="M182" s="83" t="s">
        <v>1309</v>
      </c>
      <c r="N182" t="s">
        <v>1055</v>
      </c>
    </row>
    <row r="183" spans="1:14" hidden="1">
      <c r="A183" t="s">
        <v>236</v>
      </c>
      <c r="B183" t="s">
        <v>247</v>
      </c>
      <c r="C183">
        <v>0</v>
      </c>
      <c r="D183">
        <v>9011958.7022402771</v>
      </c>
      <c r="E183">
        <v>31290178.37442806</v>
      </c>
      <c r="F183">
        <v>62719318.605147213</v>
      </c>
      <c r="G183">
        <v>1027594686335.016</v>
      </c>
      <c r="H183">
        <v>186675230.59792879</v>
      </c>
      <c r="I183">
        <v>3331774953.0648861</v>
      </c>
      <c r="J183" s="1">
        <v>3.8535509483899388E-2</v>
      </c>
      <c r="K183" t="s">
        <v>343</v>
      </c>
      <c r="L183" t="s">
        <v>1097</v>
      </c>
      <c r="M183" s="83" t="s">
        <v>1308</v>
      </c>
      <c r="N183" t="s">
        <v>1057</v>
      </c>
    </row>
    <row r="184" spans="1:14" hidden="1">
      <c r="A184" t="s">
        <v>236</v>
      </c>
      <c r="B184" t="s">
        <v>259</v>
      </c>
      <c r="C184">
        <v>-178770788405</v>
      </c>
      <c r="D184">
        <v>291033840</v>
      </c>
      <c r="E184">
        <v>1067019811</v>
      </c>
      <c r="F184">
        <v>1537435447</v>
      </c>
      <c r="G184">
        <v>12695154211347</v>
      </c>
      <c r="H184">
        <v>1734030872.2573731</v>
      </c>
      <c r="I184">
        <v>34234117104.261532</v>
      </c>
      <c r="J184" s="1">
        <v>3.2855462431995289E-2</v>
      </c>
      <c r="K184" t="s">
        <v>343</v>
      </c>
      <c r="L184" t="s">
        <v>1098</v>
      </c>
      <c r="M184" s="83" t="s">
        <v>1310</v>
      </c>
      <c r="N184" t="s">
        <v>1059</v>
      </c>
    </row>
    <row r="185" spans="1:14">
      <c r="A185" t="s">
        <v>236</v>
      </c>
      <c r="B185" t="s">
        <v>281</v>
      </c>
      <c r="C185">
        <v>-2.26778683765008</v>
      </c>
      <c r="D185">
        <v>-0.69337878884916682</v>
      </c>
      <c r="E185">
        <v>-4.9376812717600638E-2</v>
      </c>
      <c r="F185">
        <v>0.68756735877290187</v>
      </c>
      <c r="G185">
        <v>2.2677868380553119</v>
      </c>
      <c r="H185">
        <v>-7.6790054767568597E-3</v>
      </c>
      <c r="I185">
        <v>0.96043787312759155</v>
      </c>
      <c r="J185" s="1">
        <v>1.550066166740194E-2</v>
      </c>
      <c r="L185" t="s">
        <v>1099</v>
      </c>
      <c r="M185" s="83" t="s">
        <v>1307</v>
      </c>
      <c r="N185" t="s">
        <v>1061</v>
      </c>
    </row>
    <row r="186" spans="1:14">
      <c r="A186" t="s">
        <v>236</v>
      </c>
      <c r="B186" t="s">
        <v>252</v>
      </c>
      <c r="C186">
        <v>-178957108549</v>
      </c>
      <c r="D186">
        <v>41598802.5</v>
      </c>
      <c r="E186">
        <v>138208525</v>
      </c>
      <c r="F186">
        <v>214099213</v>
      </c>
      <c r="G186">
        <v>1692737869502</v>
      </c>
      <c r="H186">
        <v>249099554.68956259</v>
      </c>
      <c r="I186">
        <v>5447141874.6000423</v>
      </c>
      <c r="J186" s="1">
        <v>3.6477566708723763E-2</v>
      </c>
      <c r="L186" t="s">
        <v>1512</v>
      </c>
      <c r="M186" s="83" t="s">
        <v>1312</v>
      </c>
      <c r="N186" t="s">
        <v>1118</v>
      </c>
    </row>
    <row r="187" spans="1:14" hidden="1">
      <c r="A187" t="s">
        <v>19</v>
      </c>
      <c r="B187" t="s">
        <v>25</v>
      </c>
      <c r="C187">
        <v>0</v>
      </c>
      <c r="D187">
        <v>0</v>
      </c>
      <c r="E187">
        <v>0</v>
      </c>
      <c r="F187">
        <v>0</v>
      </c>
      <c r="G187">
        <v>23760</v>
      </c>
      <c r="H187">
        <v>1.400861259482808</v>
      </c>
      <c r="I187">
        <v>110.25463539759539</v>
      </c>
      <c r="J187" s="1">
        <v>0.1456756359358917</v>
      </c>
      <c r="K187" t="s">
        <v>344</v>
      </c>
    </row>
    <row r="188" spans="1:14" hidden="1">
      <c r="A188" t="s">
        <v>19</v>
      </c>
      <c r="B188" t="s">
        <v>24</v>
      </c>
      <c r="C188">
        <v>-16</v>
      </c>
      <c r="D188">
        <v>0</v>
      </c>
      <c r="E188">
        <v>0</v>
      </c>
      <c r="F188">
        <v>0</v>
      </c>
      <c r="G188">
        <v>53408</v>
      </c>
      <c r="H188">
        <v>2.4075813293457031</v>
      </c>
      <c r="I188">
        <v>175.1138610839844</v>
      </c>
      <c r="J188" s="1">
        <v>0.14573151007204821</v>
      </c>
      <c r="K188" t="s">
        <v>344</v>
      </c>
    </row>
    <row r="189" spans="1:14">
      <c r="A189" t="s">
        <v>19</v>
      </c>
      <c r="B189" t="s">
        <v>23</v>
      </c>
      <c r="C189">
        <v>0</v>
      </c>
      <c r="D189">
        <v>0</v>
      </c>
      <c r="E189">
        <v>0</v>
      </c>
      <c r="F189">
        <v>0</v>
      </c>
      <c r="G189">
        <v>23760</v>
      </c>
      <c r="H189">
        <v>1.651419928053679</v>
      </c>
      <c r="I189">
        <v>113.8577217565516</v>
      </c>
      <c r="J189" s="1">
        <v>0.16425084546390231</v>
      </c>
      <c r="L189" t="s">
        <v>1523</v>
      </c>
    </row>
    <row r="190" spans="1:14" hidden="1">
      <c r="A190" t="s">
        <v>19</v>
      </c>
      <c r="B190" t="s">
        <v>22</v>
      </c>
      <c r="C190">
        <v>-144</v>
      </c>
      <c r="D190">
        <v>0</v>
      </c>
      <c r="E190">
        <v>0</v>
      </c>
      <c r="F190">
        <v>0</v>
      </c>
      <c r="G190">
        <v>53408</v>
      </c>
      <c r="H190">
        <v>3.0253674983978271</v>
      </c>
      <c r="I190">
        <v>185.6832580566406</v>
      </c>
      <c r="J190" s="1">
        <v>0.16436406410821941</v>
      </c>
      <c r="K190" t="s">
        <v>344</v>
      </c>
    </row>
    <row r="191" spans="1:14" hidden="1">
      <c r="A191" t="s">
        <v>196</v>
      </c>
      <c r="B191" t="s">
        <v>203</v>
      </c>
      <c r="C191">
        <v>0</v>
      </c>
      <c r="D191">
        <v>0</v>
      </c>
      <c r="E191">
        <v>0</v>
      </c>
      <c r="F191">
        <v>0</v>
      </c>
      <c r="G191">
        <v>23760</v>
      </c>
      <c r="H191">
        <v>0.49919566512107849</v>
      </c>
      <c r="I191">
        <v>63.620693206787109</v>
      </c>
      <c r="J191" s="1">
        <v>7.181885016909284E-2</v>
      </c>
      <c r="K191" t="s">
        <v>344</v>
      </c>
      <c r="M191" s="83"/>
    </row>
    <row r="192" spans="1:14">
      <c r="A192" t="s">
        <v>196</v>
      </c>
      <c r="B192" t="s">
        <v>200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9.5122877969314353E-3</v>
      </c>
      <c r="I192">
        <v>9.7066049132603069E-2</v>
      </c>
      <c r="J192" s="1">
        <v>0.23721217468019409</v>
      </c>
      <c r="L192" t="s">
        <v>1524</v>
      </c>
      <c r="M192" t="s">
        <v>1489</v>
      </c>
      <c r="N192" t="s">
        <v>880</v>
      </c>
    </row>
    <row r="193" spans="1:14">
      <c r="A193" t="s">
        <v>335</v>
      </c>
      <c r="B193" t="s">
        <v>337</v>
      </c>
      <c r="C193">
        <v>-1</v>
      </c>
      <c r="D193">
        <v>-1</v>
      </c>
      <c r="E193">
        <v>-1</v>
      </c>
      <c r="F193">
        <v>-1</v>
      </c>
      <c r="G193">
        <v>2544</v>
      </c>
      <c r="H193">
        <v>7.4464893776541308</v>
      </c>
      <c r="I193">
        <v>92.698817180338807</v>
      </c>
      <c r="J193" s="1">
        <v>0.2346625496250552</v>
      </c>
      <c r="L193" t="s">
        <v>1525</v>
      </c>
      <c r="M193" t="s">
        <v>1487</v>
      </c>
      <c r="N193" t="s">
        <v>881</v>
      </c>
    </row>
    <row r="194" spans="1:14">
      <c r="A194" t="s">
        <v>196</v>
      </c>
      <c r="B194" t="s">
        <v>202</v>
      </c>
      <c r="C194">
        <v>-51360</v>
      </c>
      <c r="D194">
        <v>0</v>
      </c>
      <c r="E194">
        <v>0</v>
      </c>
      <c r="F194">
        <v>0</v>
      </c>
      <c r="G194">
        <v>23760</v>
      </c>
      <c r="H194">
        <v>0.42491138266365058</v>
      </c>
      <c r="I194">
        <v>88.865855971279743</v>
      </c>
      <c r="J194" s="1">
        <v>7.2041743672374481E-2</v>
      </c>
      <c r="L194" t="s">
        <v>1526</v>
      </c>
      <c r="M194" t="s">
        <v>1490</v>
      </c>
      <c r="N194" t="s">
        <v>882</v>
      </c>
    </row>
    <row r="195" spans="1:14">
      <c r="A195" t="s">
        <v>62</v>
      </c>
      <c r="B195" t="s">
        <v>64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1.497741304787735E-2</v>
      </c>
      <c r="I195">
        <v>0.1214623876928783</v>
      </c>
      <c r="J195" s="1">
        <v>0.2346625496250552</v>
      </c>
      <c r="L195" t="s">
        <v>1527</v>
      </c>
      <c r="M195" t="s">
        <v>1488</v>
      </c>
      <c r="N195" t="s">
        <v>883</v>
      </c>
    </row>
    <row r="196" spans="1:14">
      <c r="A196" t="s">
        <v>19</v>
      </c>
      <c r="B196" t="s">
        <v>21</v>
      </c>
      <c r="C196">
        <v>0</v>
      </c>
      <c r="D196">
        <v>0</v>
      </c>
      <c r="E196">
        <v>0</v>
      </c>
      <c r="F196">
        <v>0</v>
      </c>
      <c r="G196">
        <v>23760</v>
      </c>
      <c r="H196">
        <v>0.1086453422904015</v>
      </c>
      <c r="I196">
        <v>33.624729156494141</v>
      </c>
      <c r="J196" s="1">
        <v>0.23721217468019409</v>
      </c>
      <c r="L196" t="s">
        <v>1528</v>
      </c>
      <c r="M196" s="83" t="s">
        <v>1339</v>
      </c>
      <c r="N196" t="s">
        <v>884</v>
      </c>
    </row>
    <row r="197" spans="1:14">
      <c r="A197" t="s">
        <v>196</v>
      </c>
      <c r="B197" t="s">
        <v>204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1.135098070901047E-2</v>
      </c>
      <c r="I197">
        <v>0.10593466044368589</v>
      </c>
      <c r="J197" s="1">
        <v>2.952359947066607E-2</v>
      </c>
      <c r="L197" t="s">
        <v>1120</v>
      </c>
      <c r="M197" t="s">
        <v>1489</v>
      </c>
      <c r="N197" t="s">
        <v>1119</v>
      </c>
    </row>
    <row r="198" spans="1:14" hidden="1">
      <c r="A198" t="s">
        <v>52</v>
      </c>
      <c r="B198" t="s">
        <v>61</v>
      </c>
      <c r="C198">
        <v>0</v>
      </c>
      <c r="D198">
        <v>0</v>
      </c>
      <c r="E198">
        <v>0</v>
      </c>
      <c r="F198">
        <v>0</v>
      </c>
      <c r="G198">
        <v>60.666667938232422</v>
      </c>
      <c r="H198">
        <v>5.9949362184852362E-4</v>
      </c>
      <c r="I198">
        <v>9.2093624174594879E-2</v>
      </c>
      <c r="J198" s="1">
        <v>5.7653286281429414E-3</v>
      </c>
      <c r="K198" t="s">
        <v>344</v>
      </c>
    </row>
    <row r="199" spans="1:14">
      <c r="A199" t="s">
        <v>236</v>
      </c>
      <c r="B199" t="s">
        <v>264</v>
      </c>
      <c r="C199">
        <v>0</v>
      </c>
      <c r="D199">
        <v>0</v>
      </c>
      <c r="E199">
        <v>0</v>
      </c>
      <c r="F199">
        <v>0</v>
      </c>
      <c r="G199">
        <v>39278</v>
      </c>
      <c r="H199">
        <v>3.0555534357866558</v>
      </c>
      <c r="I199">
        <v>258.91562629876398</v>
      </c>
      <c r="J199" s="1">
        <v>2.9656288215707319E-2</v>
      </c>
      <c r="L199" t="s">
        <v>1513</v>
      </c>
    </row>
    <row r="200" spans="1:14">
      <c r="A200" t="s">
        <v>52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2176</v>
      </c>
      <c r="H200">
        <v>3.716110472979367E-2</v>
      </c>
      <c r="I200">
        <v>4.3740036280957346</v>
      </c>
      <c r="J200" s="1">
        <v>1.13145125716807E-2</v>
      </c>
      <c r="L200" t="s">
        <v>1121</v>
      </c>
      <c r="M200" s="83" t="s">
        <v>1363</v>
      </c>
      <c r="N200" t="s">
        <v>885</v>
      </c>
    </row>
    <row r="201" spans="1:14">
      <c r="A201" t="s">
        <v>52</v>
      </c>
      <c r="B201" t="s">
        <v>57</v>
      </c>
      <c r="C201">
        <v>-3483</v>
      </c>
      <c r="D201">
        <v>0</v>
      </c>
      <c r="E201">
        <v>0</v>
      </c>
      <c r="F201">
        <v>0</v>
      </c>
      <c r="G201">
        <v>3826</v>
      </c>
      <c r="H201">
        <v>0.1926143616437912</v>
      </c>
      <c r="I201">
        <v>20.73409271240234</v>
      </c>
      <c r="J201" s="1">
        <v>1.135274224378768E-2</v>
      </c>
      <c r="L201" t="s">
        <v>1122</v>
      </c>
      <c r="M201" s="83" t="s">
        <v>1362</v>
      </c>
      <c r="N201" t="s">
        <v>887</v>
      </c>
    </row>
    <row r="202" spans="1:14">
      <c r="A202" t="s">
        <v>52</v>
      </c>
      <c r="B202" t="s">
        <v>56</v>
      </c>
      <c r="C202">
        <v>0</v>
      </c>
      <c r="D202">
        <v>0</v>
      </c>
      <c r="E202">
        <v>0</v>
      </c>
      <c r="F202">
        <v>0</v>
      </c>
      <c r="G202">
        <v>2176</v>
      </c>
      <c r="H202">
        <v>4.5360248420078013E-2</v>
      </c>
      <c r="I202">
        <v>4.8465043940082184</v>
      </c>
      <c r="J202" s="1">
        <v>1.190119100132336E-2</v>
      </c>
      <c r="L202" t="s">
        <v>1123</v>
      </c>
      <c r="M202" s="83" t="s">
        <v>1361</v>
      </c>
      <c r="N202" t="s">
        <v>889</v>
      </c>
    </row>
    <row r="203" spans="1:14">
      <c r="A203" t="s">
        <v>52</v>
      </c>
      <c r="B203" t="s">
        <v>55</v>
      </c>
      <c r="C203">
        <v>-3443</v>
      </c>
      <c r="D203">
        <v>0</v>
      </c>
      <c r="E203">
        <v>0</v>
      </c>
      <c r="F203">
        <v>0</v>
      </c>
      <c r="G203">
        <v>6399</v>
      </c>
      <c r="H203">
        <v>0.36789581179618841</v>
      </c>
      <c r="I203">
        <v>37.549755096435547</v>
      </c>
      <c r="J203" s="1">
        <v>1.199529480958683E-2</v>
      </c>
      <c r="L203" t="s">
        <v>1124</v>
      </c>
      <c r="M203" s="83" t="s">
        <v>1360</v>
      </c>
      <c r="N203" t="s">
        <v>891</v>
      </c>
    </row>
    <row r="204" spans="1:14" hidden="1">
      <c r="A204" t="s">
        <v>52</v>
      </c>
      <c r="B204" t="s">
        <v>59</v>
      </c>
      <c r="C204">
        <v>-2165</v>
      </c>
      <c r="D204">
        <v>0</v>
      </c>
      <c r="E204">
        <v>0</v>
      </c>
      <c r="F204">
        <v>0</v>
      </c>
      <c r="G204">
        <v>955</v>
      </c>
      <c r="H204">
        <v>1.428789708600359E-2</v>
      </c>
      <c r="I204">
        <v>3.366673455061814</v>
      </c>
      <c r="J204" s="1">
        <v>5.8049574269386506E-3</v>
      </c>
      <c r="K204" t="s">
        <v>344</v>
      </c>
      <c r="L204" t="s">
        <v>1126</v>
      </c>
      <c r="M204" s="83" t="s">
        <v>1364</v>
      </c>
      <c r="N204" t="s">
        <v>1125</v>
      </c>
    </row>
    <row r="205" spans="1:14">
      <c r="A205" t="s">
        <v>52</v>
      </c>
      <c r="B205" t="s">
        <v>54</v>
      </c>
      <c r="C205">
        <v>0</v>
      </c>
      <c r="D205">
        <v>0</v>
      </c>
      <c r="E205">
        <v>0</v>
      </c>
      <c r="F205">
        <v>0</v>
      </c>
      <c r="G205">
        <v>1.5218362386804071E-4</v>
      </c>
      <c r="H205">
        <v>1.0048212040203449E-8</v>
      </c>
      <c r="I205">
        <v>9.2639425020024646E-7</v>
      </c>
      <c r="J205" s="1">
        <v>2.953095133068662E-2</v>
      </c>
      <c r="L205" t="s">
        <v>1128</v>
      </c>
      <c r="M205" s="83" t="s">
        <v>1359</v>
      </c>
      <c r="N205" t="s">
        <v>1127</v>
      </c>
    </row>
    <row r="206" spans="1:14">
      <c r="A206" t="s">
        <v>65</v>
      </c>
      <c r="B206" t="s">
        <v>68</v>
      </c>
      <c r="C206">
        <v>0</v>
      </c>
      <c r="D206">
        <v>0.76502186059951782</v>
      </c>
      <c r="E206">
        <v>0.9748108983039856</v>
      </c>
      <c r="F206">
        <v>1.1478444337844851</v>
      </c>
      <c r="G206">
        <v>3581578</v>
      </c>
      <c r="H206">
        <v>891.88739013671875</v>
      </c>
      <c r="I206">
        <v>34392.546875</v>
      </c>
      <c r="J206" s="1">
        <v>2.9266284369945609E-2</v>
      </c>
      <c r="L206" t="s">
        <v>1129</v>
      </c>
      <c r="M206" s="83" t="s">
        <v>1350</v>
      </c>
      <c r="N206" t="s">
        <v>1130</v>
      </c>
    </row>
    <row r="207" spans="1:14" hidden="1">
      <c r="A207" t="s">
        <v>70</v>
      </c>
      <c r="B207" t="s">
        <v>78</v>
      </c>
      <c r="C207">
        <v>0</v>
      </c>
      <c r="D207">
        <v>0</v>
      </c>
      <c r="E207">
        <v>0</v>
      </c>
      <c r="F207">
        <v>0</v>
      </c>
      <c r="G207">
        <v>109935</v>
      </c>
      <c r="H207">
        <v>0.7476314902305603</v>
      </c>
      <c r="I207">
        <v>183.22367858886719</v>
      </c>
      <c r="J207" s="1">
        <v>3.8229672107092938E-5</v>
      </c>
      <c r="K207" t="s">
        <v>341</v>
      </c>
      <c r="L207" s="2" t="s">
        <v>1131</v>
      </c>
      <c r="M207" t="s">
        <v>1391</v>
      </c>
      <c r="N207" t="s">
        <v>1132</v>
      </c>
    </row>
    <row r="208" spans="1:14" hidden="1">
      <c r="A208" t="s">
        <v>70</v>
      </c>
      <c r="B208" t="s">
        <v>79</v>
      </c>
      <c r="C208">
        <v>0</v>
      </c>
      <c r="D208">
        <v>0</v>
      </c>
      <c r="E208">
        <v>0</v>
      </c>
      <c r="F208">
        <v>0</v>
      </c>
      <c r="G208">
        <v>234201</v>
      </c>
      <c r="H208">
        <v>0.41699314117431641</v>
      </c>
      <c r="I208">
        <v>289.52239990234381</v>
      </c>
      <c r="J208" s="1">
        <v>2.940744008195217E-6</v>
      </c>
      <c r="K208" t="s">
        <v>341</v>
      </c>
      <c r="L208" t="s">
        <v>1133</v>
      </c>
      <c r="M208" t="s">
        <v>1390</v>
      </c>
      <c r="N208" t="s">
        <v>1134</v>
      </c>
    </row>
    <row r="209" spans="1:14">
      <c r="A209" t="s">
        <v>108</v>
      </c>
      <c r="B209" t="s">
        <v>109</v>
      </c>
      <c r="C209">
        <v>1.5151515603065491E-2</v>
      </c>
      <c r="D209">
        <v>1</v>
      </c>
      <c r="E209">
        <v>1</v>
      </c>
      <c r="F209">
        <v>1</v>
      </c>
      <c r="G209">
        <v>1194537</v>
      </c>
      <c r="H209">
        <v>60.548744201660163</v>
      </c>
      <c r="I209">
        <v>4495.0205078125</v>
      </c>
      <c r="J209" s="1">
        <v>3.6185855021320409E-3</v>
      </c>
      <c r="L209" t="s">
        <v>1136</v>
      </c>
      <c r="M209" s="83" t="s">
        <v>1389</v>
      </c>
      <c r="N209" t="s">
        <v>1135</v>
      </c>
    </row>
    <row r="210" spans="1:14">
      <c r="A210" t="s">
        <v>183</v>
      </c>
      <c r="B210" t="s">
        <v>184</v>
      </c>
      <c r="C210">
        <v>0</v>
      </c>
      <c r="D210">
        <v>0</v>
      </c>
      <c r="E210">
        <v>0</v>
      </c>
      <c r="F210">
        <v>0</v>
      </c>
      <c r="G210">
        <v>1155</v>
      </c>
      <c r="H210">
        <v>2.230655666012145</v>
      </c>
      <c r="I210">
        <v>26.05972962853561</v>
      </c>
      <c r="J210" s="1">
        <v>0.23856510963062391</v>
      </c>
      <c r="L210" t="s">
        <v>1520</v>
      </c>
      <c r="M210" s="83" t="s">
        <v>1357</v>
      </c>
    </row>
    <row r="211" spans="1:14">
      <c r="A211" t="s">
        <v>112</v>
      </c>
      <c r="B211" t="s">
        <v>114</v>
      </c>
      <c r="C211">
        <v>0</v>
      </c>
      <c r="D211">
        <v>0</v>
      </c>
      <c r="E211">
        <v>0</v>
      </c>
      <c r="F211">
        <v>0</v>
      </c>
      <c r="G211">
        <v>175</v>
      </c>
      <c r="H211">
        <v>1.544435541388935E-2</v>
      </c>
      <c r="I211">
        <v>0.7779953571609064</v>
      </c>
      <c r="J211" s="1">
        <v>2.4187713602116131E-2</v>
      </c>
      <c r="L211" t="s">
        <v>1139</v>
      </c>
      <c r="M211" t="s">
        <v>1462</v>
      </c>
    </row>
    <row r="212" spans="1:14">
      <c r="A212" t="s">
        <v>27</v>
      </c>
      <c r="B212" t="s">
        <v>28</v>
      </c>
      <c r="C212">
        <v>0</v>
      </c>
      <c r="D212">
        <v>0</v>
      </c>
      <c r="E212">
        <v>0</v>
      </c>
      <c r="F212">
        <v>0</v>
      </c>
      <c r="G212">
        <v>3514</v>
      </c>
      <c r="H212">
        <v>0.64061254888724195</v>
      </c>
      <c r="I212">
        <v>15.814057388130699</v>
      </c>
      <c r="J212" s="1">
        <v>0.46129704961386248</v>
      </c>
      <c r="L212" t="s">
        <v>1506</v>
      </c>
      <c r="M212" t="s">
        <v>1462</v>
      </c>
    </row>
    <row r="213" spans="1:14">
      <c r="A213" t="s">
        <v>10</v>
      </c>
      <c r="B213" t="s">
        <v>13</v>
      </c>
      <c r="C213">
        <v>0</v>
      </c>
      <c r="D213">
        <v>0</v>
      </c>
      <c r="E213">
        <v>0</v>
      </c>
      <c r="F213">
        <v>0</v>
      </c>
      <c r="G213">
        <v>479</v>
      </c>
      <c r="H213">
        <v>1.3426316453727101</v>
      </c>
      <c r="I213">
        <v>5.4861480913195964</v>
      </c>
      <c r="J213" s="1">
        <v>7.2990538537559102E-2</v>
      </c>
      <c r="L213" t="s">
        <v>1503</v>
      </c>
      <c r="M213" s="83" t="s">
        <v>1349</v>
      </c>
    </row>
    <row r="214" spans="1:14" hidden="1">
      <c r="A214" t="s">
        <v>125</v>
      </c>
      <c r="B214" t="s">
        <v>141</v>
      </c>
      <c r="C214">
        <v>12</v>
      </c>
      <c r="D214">
        <v>21</v>
      </c>
      <c r="E214">
        <v>23</v>
      </c>
      <c r="F214">
        <v>27</v>
      </c>
      <c r="G214">
        <v>56</v>
      </c>
      <c r="H214">
        <v>24.43353903274803</v>
      </c>
      <c r="I214">
        <v>4.8769659980689237</v>
      </c>
      <c r="J214" s="1">
        <v>3.2398310580698642E-2</v>
      </c>
      <c r="K214" t="s">
        <v>344</v>
      </c>
      <c r="L214" t="s">
        <v>1140</v>
      </c>
      <c r="M214" t="s">
        <v>1424</v>
      </c>
    </row>
    <row r="215" spans="1:14" hidden="1">
      <c r="A215" t="s">
        <v>70</v>
      </c>
      <c r="B215" t="s">
        <v>77</v>
      </c>
      <c r="C215">
        <v>0</v>
      </c>
      <c r="D215">
        <v>0</v>
      </c>
      <c r="E215">
        <v>0</v>
      </c>
      <c r="F215">
        <v>0</v>
      </c>
      <c r="G215">
        <v>109935</v>
      </c>
      <c r="H215">
        <v>0.78490168972166696</v>
      </c>
      <c r="I215">
        <v>185.7590708925128</v>
      </c>
      <c r="J215" s="1">
        <v>3.853850144519555E-5</v>
      </c>
      <c r="K215" t="s">
        <v>341</v>
      </c>
      <c r="L215" s="3" t="s">
        <v>1141</v>
      </c>
      <c r="M215" t="s">
        <v>1397</v>
      </c>
    </row>
    <row r="216" spans="1:14">
      <c r="A216" t="s">
        <v>154</v>
      </c>
      <c r="B216" t="s">
        <v>169</v>
      </c>
      <c r="C216">
        <v>12</v>
      </c>
      <c r="D216">
        <v>21</v>
      </c>
      <c r="E216">
        <v>23</v>
      </c>
      <c r="F216">
        <v>27</v>
      </c>
      <c r="G216">
        <v>56</v>
      </c>
      <c r="H216">
        <v>24.415662519052969</v>
      </c>
      <c r="I216">
        <v>4.8688242707084752</v>
      </c>
      <c r="J216" s="1">
        <v>3.1588001764446427E-2</v>
      </c>
      <c r="L216" t="s">
        <v>1142</v>
      </c>
      <c r="M216" t="s">
        <v>1452</v>
      </c>
    </row>
    <row r="217" spans="1:14">
      <c r="A217" t="s">
        <v>27</v>
      </c>
      <c r="B217" t="s">
        <v>31</v>
      </c>
      <c r="C217">
        <v>0</v>
      </c>
      <c r="D217">
        <v>0</v>
      </c>
      <c r="E217">
        <v>0</v>
      </c>
      <c r="F217">
        <v>0</v>
      </c>
      <c r="G217">
        <v>44576</v>
      </c>
      <c r="H217">
        <v>2.6369273010229999</v>
      </c>
      <c r="I217">
        <v>203.77290392201689</v>
      </c>
      <c r="J217" s="1">
        <v>0.42183502426113811</v>
      </c>
      <c r="L217" t="s">
        <v>1505</v>
      </c>
      <c r="M217" t="s">
        <v>1462</v>
      </c>
    </row>
    <row r="218" spans="1:14">
      <c r="A218" t="s">
        <v>27</v>
      </c>
      <c r="B218" t="s">
        <v>30</v>
      </c>
      <c r="C218">
        <v>0</v>
      </c>
      <c r="D218">
        <v>0</v>
      </c>
      <c r="E218">
        <v>0</v>
      </c>
      <c r="F218">
        <v>0</v>
      </c>
      <c r="G218">
        <v>44576</v>
      </c>
      <c r="H218">
        <v>2.5816300174929849</v>
      </c>
      <c r="I218">
        <v>203.6437622455004</v>
      </c>
      <c r="J218" s="1">
        <v>0.42235867320560172</v>
      </c>
      <c r="L218" t="s">
        <v>1507</v>
      </c>
      <c r="M218" t="s">
        <v>1481</v>
      </c>
    </row>
    <row r="219" spans="1:14" hidden="1">
      <c r="A219" t="s">
        <v>80</v>
      </c>
      <c r="B219" t="s">
        <v>89</v>
      </c>
      <c r="C219">
        <v>0</v>
      </c>
      <c r="D219">
        <v>0</v>
      </c>
      <c r="E219">
        <v>0</v>
      </c>
      <c r="F219">
        <v>0</v>
      </c>
      <c r="G219">
        <v>4331</v>
      </c>
      <c r="H219">
        <v>1.1470981016001971</v>
      </c>
      <c r="I219">
        <v>47.936614172618349</v>
      </c>
      <c r="J219" s="1">
        <v>8.4173400225581174E-3</v>
      </c>
      <c r="K219" t="s">
        <v>343</v>
      </c>
      <c r="L219" t="s">
        <v>1143</v>
      </c>
      <c r="M219" s="83" t="s">
        <v>1386</v>
      </c>
    </row>
    <row r="220" spans="1:14">
      <c r="A220" t="s">
        <v>206</v>
      </c>
      <c r="B220" t="s">
        <v>226</v>
      </c>
      <c r="C220">
        <v>0</v>
      </c>
      <c r="D220">
        <v>24734759618.5</v>
      </c>
      <c r="E220">
        <v>42117359304</v>
      </c>
      <c r="F220">
        <v>59645787644</v>
      </c>
      <c r="G220">
        <v>85303364856</v>
      </c>
      <c r="H220">
        <v>41907507608.983383</v>
      </c>
      <c r="I220">
        <v>19627073263.527351</v>
      </c>
      <c r="J220" s="1">
        <v>7.9359962105154613E-2</v>
      </c>
      <c r="L220" t="s">
        <v>1502</v>
      </c>
      <c r="M220" s="83" t="s">
        <v>1337</v>
      </c>
    </row>
    <row r="221" spans="1:14">
      <c r="A221" t="s">
        <v>236</v>
      </c>
      <c r="B221" t="s">
        <v>237</v>
      </c>
      <c r="C221">
        <v>1641</v>
      </c>
      <c r="D221">
        <v>68575769604</v>
      </c>
      <c r="E221">
        <v>160450177119</v>
      </c>
      <c r="F221">
        <v>295596613818</v>
      </c>
      <c r="G221">
        <v>73231507371294</v>
      </c>
      <c r="H221">
        <v>207801548495.4137</v>
      </c>
      <c r="I221">
        <v>329174984985.55591</v>
      </c>
      <c r="J221" s="1">
        <v>8.5909049651824332E-2</v>
      </c>
      <c r="L221" t="s">
        <v>1501</v>
      </c>
      <c r="M221" s="83" t="s">
        <v>1313</v>
      </c>
    </row>
    <row r="222" spans="1:14" hidden="1">
      <c r="A222" t="s">
        <v>196</v>
      </c>
      <c r="B222" t="s">
        <v>201</v>
      </c>
      <c r="C222">
        <v>0</v>
      </c>
      <c r="D222">
        <v>0</v>
      </c>
      <c r="E222">
        <v>0</v>
      </c>
      <c r="F222">
        <v>0</v>
      </c>
      <c r="G222">
        <v>53408</v>
      </c>
      <c r="H222">
        <v>9.6339414267849364</v>
      </c>
      <c r="I222">
        <v>315.47070366089628</v>
      </c>
      <c r="J222" s="1">
        <v>0.23721217468019409</v>
      </c>
      <c r="K222" t="s">
        <v>344</v>
      </c>
      <c r="L222" t="s">
        <v>1137</v>
      </c>
      <c r="M222" t="s">
        <v>1462</v>
      </c>
    </row>
    <row r="223" spans="1:14">
      <c r="A223" t="s">
        <v>106</v>
      </c>
      <c r="B223" t="s">
        <v>107</v>
      </c>
      <c r="C223">
        <v>6</v>
      </c>
      <c r="D223">
        <v>13611</v>
      </c>
      <c r="E223">
        <v>27800</v>
      </c>
      <c r="F223">
        <v>46322</v>
      </c>
      <c r="G223">
        <v>76825</v>
      </c>
      <c r="H223">
        <v>30736.160739320509</v>
      </c>
      <c r="I223">
        <v>20263.44813235425</v>
      </c>
      <c r="J223" s="1">
        <v>8.7657697397441448E-2</v>
      </c>
      <c r="L223" t="s">
        <v>1138</v>
      </c>
      <c r="M223" s="83" t="s">
        <v>1338</v>
      </c>
    </row>
    <row r="224" spans="1:14" hidden="1">
      <c r="A224" t="s">
        <v>125</v>
      </c>
      <c r="B224" t="s">
        <v>152</v>
      </c>
      <c r="C224">
        <v>0</v>
      </c>
      <c r="D224">
        <v>0</v>
      </c>
      <c r="E224">
        <v>0</v>
      </c>
      <c r="F224">
        <v>0</v>
      </c>
      <c r="G224">
        <v>21043</v>
      </c>
      <c r="H224">
        <v>0.15528292953968051</v>
      </c>
      <c r="I224">
        <v>40.527694702148438</v>
      </c>
      <c r="J224" s="1">
        <v>6.3123070136744666E-3</v>
      </c>
      <c r="K224" t="s">
        <v>341</v>
      </c>
      <c r="L224" s="3" t="s">
        <v>1144</v>
      </c>
      <c r="M224" t="s">
        <v>1398</v>
      </c>
      <c r="N224" t="s">
        <v>1145</v>
      </c>
    </row>
    <row r="225" spans="1:14">
      <c r="A225" t="s">
        <v>125</v>
      </c>
      <c r="B225" t="s">
        <v>151</v>
      </c>
      <c r="C225">
        <v>0</v>
      </c>
      <c r="D225">
        <v>0</v>
      </c>
      <c r="E225">
        <v>0</v>
      </c>
      <c r="F225">
        <v>0</v>
      </c>
      <c r="G225">
        <v>106</v>
      </c>
      <c r="H225">
        <v>0.13618265092372889</v>
      </c>
      <c r="I225">
        <v>2.4928631782531738</v>
      </c>
      <c r="J225" s="1">
        <v>1.1612998088516459E-2</v>
      </c>
      <c r="L225" s="3" t="s">
        <v>1146</v>
      </c>
      <c r="M225" t="s">
        <v>1399</v>
      </c>
      <c r="N225" t="s">
        <v>1147</v>
      </c>
    </row>
    <row r="226" spans="1:14">
      <c r="A226" t="s">
        <v>154</v>
      </c>
      <c r="B226" t="s">
        <v>180</v>
      </c>
      <c r="C226">
        <v>-25828564992</v>
      </c>
      <c r="D226">
        <v>0</v>
      </c>
      <c r="E226">
        <v>0</v>
      </c>
      <c r="F226">
        <v>0</v>
      </c>
      <c r="G226">
        <v>86801727488</v>
      </c>
      <c r="H226">
        <v>1282310.875</v>
      </c>
      <c r="I226">
        <v>161112416</v>
      </c>
      <c r="J226" s="1">
        <v>1.0594030289663331E-2</v>
      </c>
      <c r="L226" t="s">
        <v>1148</v>
      </c>
      <c r="M226" t="s">
        <v>1426</v>
      </c>
      <c r="N226" t="s">
        <v>1149</v>
      </c>
    </row>
    <row r="227" spans="1:14">
      <c r="A227" t="s">
        <v>80</v>
      </c>
      <c r="B227" t="s">
        <v>90</v>
      </c>
      <c r="C227">
        <v>0</v>
      </c>
      <c r="D227">
        <v>0</v>
      </c>
      <c r="E227">
        <v>0</v>
      </c>
      <c r="F227">
        <v>0</v>
      </c>
      <c r="G227">
        <v>21067</v>
      </c>
      <c r="H227">
        <v>1.179563114988663</v>
      </c>
      <c r="I227">
        <v>157.31743441444101</v>
      </c>
      <c r="J227" s="1">
        <v>5.5702913968069812E-3</v>
      </c>
      <c r="L227" t="s">
        <v>1150</v>
      </c>
      <c r="M227" s="83" t="s">
        <v>1381</v>
      </c>
    </row>
    <row r="228" spans="1:14">
      <c r="A228" t="s">
        <v>80</v>
      </c>
      <c r="B228" t="s">
        <v>97</v>
      </c>
      <c r="C228">
        <v>0</v>
      </c>
      <c r="D228">
        <v>0</v>
      </c>
      <c r="E228">
        <v>0</v>
      </c>
      <c r="F228">
        <v>0</v>
      </c>
      <c r="G228">
        <v>7</v>
      </c>
      <c r="H228">
        <v>1.645069667972532E-4</v>
      </c>
      <c r="I228">
        <v>2.0153054289468911E-2</v>
      </c>
      <c r="J228" s="1">
        <v>1.5159535362446741E-3</v>
      </c>
      <c r="L228" t="s">
        <v>1151</v>
      </c>
      <c r="M228" s="83" t="s">
        <v>1376</v>
      </c>
      <c r="N228" t="s">
        <v>885</v>
      </c>
    </row>
    <row r="229" spans="1:14">
      <c r="A229" t="s">
        <v>80</v>
      </c>
      <c r="B229" t="s">
        <v>96</v>
      </c>
      <c r="C229">
        <v>-7</v>
      </c>
      <c r="D229">
        <v>0</v>
      </c>
      <c r="E229">
        <v>0</v>
      </c>
      <c r="F229">
        <v>0</v>
      </c>
      <c r="G229">
        <v>7</v>
      </c>
      <c r="H229">
        <v>-7.279069450305542E-6</v>
      </c>
      <c r="I229">
        <v>2.754051610827446E-2</v>
      </c>
      <c r="J229" s="1">
        <v>1.535068372298221E-3</v>
      </c>
      <c r="L229" t="s">
        <v>1152</v>
      </c>
      <c r="M229" s="83" t="s">
        <v>1375</v>
      </c>
      <c r="N229" t="s">
        <v>887</v>
      </c>
    </row>
    <row r="230" spans="1:14">
      <c r="A230" t="s">
        <v>80</v>
      </c>
      <c r="B230" t="s">
        <v>95</v>
      </c>
      <c r="C230">
        <v>0</v>
      </c>
      <c r="D230">
        <v>0</v>
      </c>
      <c r="E230">
        <v>0</v>
      </c>
      <c r="F230">
        <v>0</v>
      </c>
      <c r="G230">
        <v>7</v>
      </c>
      <c r="H230">
        <v>3.3629300292181837E-4</v>
      </c>
      <c r="I230">
        <v>2.811396426387177E-2</v>
      </c>
      <c r="J230" s="1">
        <v>3.7773856785767719E-3</v>
      </c>
      <c r="L230" t="s">
        <v>1153</v>
      </c>
      <c r="M230" s="83" t="s">
        <v>1374</v>
      </c>
      <c r="N230" t="s">
        <v>889</v>
      </c>
    </row>
    <row r="231" spans="1:14">
      <c r="A231" t="s">
        <v>80</v>
      </c>
      <c r="B231" t="s">
        <v>94</v>
      </c>
      <c r="C231">
        <v>-21067</v>
      </c>
      <c r="D231">
        <v>0</v>
      </c>
      <c r="E231">
        <v>0</v>
      </c>
      <c r="F231">
        <v>0</v>
      </c>
      <c r="G231">
        <v>7</v>
      </c>
      <c r="H231">
        <v>-3.0723495408892632E-2</v>
      </c>
      <c r="I231">
        <v>25.418857574462891</v>
      </c>
      <c r="J231" s="1">
        <v>3.8362005587414538E-3</v>
      </c>
      <c r="L231" t="s">
        <v>1154</v>
      </c>
      <c r="M231" s="83" t="s">
        <v>1373</v>
      </c>
      <c r="N231" t="s">
        <v>891</v>
      </c>
    </row>
    <row r="232" spans="1:14">
      <c r="A232" t="s">
        <v>196</v>
      </c>
      <c r="B232" t="s">
        <v>205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3.0353719094891401E-3</v>
      </c>
      <c r="I232">
        <v>5.5010570187828768E-2</v>
      </c>
      <c r="J232" s="1">
        <v>5.5477135715336079E-3</v>
      </c>
      <c r="L232" t="s">
        <v>1156</v>
      </c>
      <c r="M232" t="s">
        <v>1489</v>
      </c>
      <c r="N232" t="s">
        <v>1155</v>
      </c>
    </row>
    <row r="233" spans="1:14">
      <c r="A233" t="s">
        <v>80</v>
      </c>
      <c r="B233" t="s">
        <v>99</v>
      </c>
      <c r="C233">
        <v>-3</v>
      </c>
      <c r="D233">
        <v>0</v>
      </c>
      <c r="E233">
        <v>0</v>
      </c>
      <c r="F233">
        <v>0</v>
      </c>
      <c r="G233">
        <v>7</v>
      </c>
      <c r="H233">
        <v>1.322273252175139E-5</v>
      </c>
      <c r="I233">
        <v>1.1434952994364931E-2</v>
      </c>
      <c r="J233" s="1">
        <v>5.8570033377935982E-4</v>
      </c>
      <c r="L233" t="s">
        <v>1158</v>
      </c>
      <c r="M233" s="83" t="s">
        <v>1382</v>
      </c>
      <c r="N233" t="s">
        <v>1157</v>
      </c>
    </row>
    <row r="234" spans="1:14">
      <c r="A234" t="s">
        <v>80</v>
      </c>
      <c r="B234" t="s">
        <v>83</v>
      </c>
      <c r="C234">
        <v>0</v>
      </c>
      <c r="D234">
        <v>0</v>
      </c>
      <c r="E234">
        <v>0</v>
      </c>
      <c r="F234">
        <v>0</v>
      </c>
      <c r="G234">
        <v>4.8642423935234547E-3</v>
      </c>
      <c r="H234">
        <v>6.982466516092245E-8</v>
      </c>
      <c r="I234">
        <v>1.1905713108717461E-5</v>
      </c>
      <c r="J234" s="1">
        <v>4.3924422878988352E-2</v>
      </c>
      <c r="L234" t="s">
        <v>1160</v>
      </c>
      <c r="M234" s="83" t="s">
        <v>1359</v>
      </c>
      <c r="N234" t="s">
        <v>1159</v>
      </c>
    </row>
    <row r="235" spans="1:14">
      <c r="A235" t="s">
        <v>52</v>
      </c>
      <c r="B235" t="s">
        <v>53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4.3779000407084823E-6</v>
      </c>
      <c r="I235">
        <v>2.6979739777743821E-3</v>
      </c>
      <c r="J235" s="1">
        <v>4.4096456403470041E-2</v>
      </c>
      <c r="L235" t="s">
        <v>1162</v>
      </c>
      <c r="M235" s="83" t="s">
        <v>1359</v>
      </c>
      <c r="N235" t="s">
        <v>1161</v>
      </c>
    </row>
    <row r="236" spans="1:14">
      <c r="A236" t="s">
        <v>80</v>
      </c>
      <c r="B236" t="s">
        <v>93</v>
      </c>
      <c r="C236">
        <v>0</v>
      </c>
      <c r="D236">
        <v>0</v>
      </c>
      <c r="E236">
        <v>0</v>
      </c>
      <c r="F236">
        <v>0</v>
      </c>
      <c r="G236">
        <v>2.484906673431396</v>
      </c>
      <c r="H236">
        <v>1.0639530955813831E-4</v>
      </c>
      <c r="I236">
        <v>1.0884637944400311E-2</v>
      </c>
      <c r="J236" s="1">
        <v>4.7845905013969006E-3</v>
      </c>
      <c r="L236" t="s">
        <v>1163</v>
      </c>
      <c r="M236" s="83" t="s">
        <v>1367</v>
      </c>
      <c r="N236" t="s">
        <v>1164</v>
      </c>
    </row>
    <row r="237" spans="1:14">
      <c r="A237" t="s">
        <v>80</v>
      </c>
      <c r="B237" t="s">
        <v>98</v>
      </c>
      <c r="C237">
        <v>0</v>
      </c>
      <c r="D237">
        <v>0</v>
      </c>
      <c r="E237">
        <v>0</v>
      </c>
      <c r="F237">
        <v>0</v>
      </c>
      <c r="G237">
        <v>71104</v>
      </c>
      <c r="H237">
        <v>0.1197727173566818</v>
      </c>
      <c r="I237">
        <v>86.762153625488281</v>
      </c>
      <c r="J237" s="1">
        <v>1.3233348037053889E-3</v>
      </c>
      <c r="L237" t="s">
        <v>1166</v>
      </c>
      <c r="M237" s="83" t="s">
        <v>1366</v>
      </c>
      <c r="N237" t="s">
        <v>1165</v>
      </c>
    </row>
    <row r="238" spans="1:14" hidden="1">
      <c r="A238" t="s">
        <v>80</v>
      </c>
      <c r="B238" t="s">
        <v>82</v>
      </c>
      <c r="C238">
        <v>0</v>
      </c>
      <c r="D238">
        <v>0</v>
      </c>
      <c r="E238">
        <v>0</v>
      </c>
      <c r="F238">
        <v>0</v>
      </c>
      <c r="G238">
        <v>21067</v>
      </c>
      <c r="H238">
        <v>2.6556312966400801</v>
      </c>
      <c r="I238">
        <v>231.09998004819681</v>
      </c>
      <c r="J238" s="1">
        <v>4.3958090336758897E-2</v>
      </c>
      <c r="K238" t="s">
        <v>343</v>
      </c>
      <c r="L238" t="s">
        <v>1167</v>
      </c>
      <c r="M238" s="83" t="s">
        <v>1383</v>
      </c>
    </row>
    <row r="239" spans="1:14">
      <c r="A239" t="s">
        <v>80</v>
      </c>
      <c r="B239" t="s">
        <v>87</v>
      </c>
      <c r="C239">
        <v>0</v>
      </c>
      <c r="D239">
        <v>0</v>
      </c>
      <c r="E239">
        <v>0</v>
      </c>
      <c r="F239">
        <v>0</v>
      </c>
      <c r="G239">
        <v>103</v>
      </c>
      <c r="H239">
        <v>1.7659022188059119E-3</v>
      </c>
      <c r="I239">
        <v>0.16794709858594339</v>
      </c>
      <c r="J239" s="1">
        <v>1.5281576238788451E-2</v>
      </c>
      <c r="L239" t="s">
        <v>1168</v>
      </c>
      <c r="M239" s="83" t="s">
        <v>1372</v>
      </c>
      <c r="N239" t="s">
        <v>885</v>
      </c>
    </row>
    <row r="240" spans="1:14" hidden="1">
      <c r="A240" t="s">
        <v>80</v>
      </c>
      <c r="B240" t="s">
        <v>86</v>
      </c>
      <c r="C240">
        <v>-529</v>
      </c>
      <c r="D240">
        <v>0</v>
      </c>
      <c r="E240">
        <v>0</v>
      </c>
      <c r="F240">
        <v>0</v>
      </c>
      <c r="G240">
        <v>153</v>
      </c>
      <c r="H240">
        <v>7.1189296431839466E-4</v>
      </c>
      <c r="I240">
        <v>0.7217525839805603</v>
      </c>
      <c r="J240" s="1">
        <v>1.5333039258932479E-2</v>
      </c>
      <c r="K240" t="s">
        <v>343</v>
      </c>
      <c r="L240" t="s">
        <v>1169</v>
      </c>
      <c r="M240" s="83" t="s">
        <v>1371</v>
      </c>
      <c r="N240" t="s">
        <v>887</v>
      </c>
    </row>
    <row r="241" spans="1:14">
      <c r="A241" t="s">
        <v>80</v>
      </c>
      <c r="B241" t="s">
        <v>85</v>
      </c>
      <c r="C241">
        <v>0</v>
      </c>
      <c r="D241">
        <v>0</v>
      </c>
      <c r="E241">
        <v>0</v>
      </c>
      <c r="F241">
        <v>0</v>
      </c>
      <c r="G241">
        <v>103</v>
      </c>
      <c r="H241">
        <v>3.166395157380758E-3</v>
      </c>
      <c r="I241">
        <v>0.21407767712300771</v>
      </c>
      <c r="J241" s="1">
        <v>2.048081164534632E-2</v>
      </c>
      <c r="L241" t="s">
        <v>1170</v>
      </c>
      <c r="M241" s="83" t="s">
        <v>1370</v>
      </c>
      <c r="N241" t="s">
        <v>889</v>
      </c>
    </row>
    <row r="242" spans="1:14" hidden="1">
      <c r="A242" t="s">
        <v>80</v>
      </c>
      <c r="B242" t="s">
        <v>84</v>
      </c>
      <c r="C242">
        <v>-529</v>
      </c>
      <c r="D242">
        <v>0</v>
      </c>
      <c r="E242">
        <v>0</v>
      </c>
      <c r="F242">
        <v>0</v>
      </c>
      <c r="G242">
        <v>153</v>
      </c>
      <c r="H242">
        <v>2.2186604328453541E-3</v>
      </c>
      <c r="I242">
        <v>0.83881193399429321</v>
      </c>
      <c r="J242" s="1">
        <v>2.0596971033671529E-2</v>
      </c>
      <c r="K242" t="s">
        <v>343</v>
      </c>
      <c r="L242" t="s">
        <v>1171</v>
      </c>
      <c r="M242" s="83" t="s">
        <v>1369</v>
      </c>
      <c r="N242" t="s">
        <v>891</v>
      </c>
    </row>
    <row r="243" spans="1:14">
      <c r="A243" t="s">
        <v>326</v>
      </c>
      <c r="B243" t="s">
        <v>327</v>
      </c>
      <c r="C243">
        <v>-1</v>
      </c>
      <c r="D243">
        <v>-1</v>
      </c>
      <c r="E243">
        <v>-1</v>
      </c>
      <c r="F243">
        <v>-1</v>
      </c>
      <c r="G243">
        <v>1904</v>
      </c>
      <c r="H243">
        <v>9.2044108248495782</v>
      </c>
      <c r="I243">
        <v>87.751049570073036</v>
      </c>
      <c r="J243" s="1">
        <v>3.8039994118511999E-2</v>
      </c>
      <c r="L243" t="s">
        <v>1173</v>
      </c>
      <c r="M243" t="s">
        <v>1365</v>
      </c>
      <c r="N243" t="s">
        <v>1172</v>
      </c>
    </row>
    <row r="244" spans="1:14" hidden="1">
      <c r="A244" t="s">
        <v>80</v>
      </c>
      <c r="B244" t="s">
        <v>91</v>
      </c>
      <c r="C244">
        <v>-529</v>
      </c>
      <c r="D244">
        <v>0</v>
      </c>
      <c r="E244">
        <v>0</v>
      </c>
      <c r="F244">
        <v>0</v>
      </c>
      <c r="G244">
        <v>11</v>
      </c>
      <c r="H244">
        <v>-6.4350631605856784E-4</v>
      </c>
      <c r="I244">
        <v>0.64513481244667747</v>
      </c>
      <c r="J244" s="1">
        <v>5.410679584857081E-3</v>
      </c>
      <c r="K244" t="s">
        <v>343</v>
      </c>
      <c r="L244" t="s">
        <v>1175</v>
      </c>
      <c r="M244" s="83" t="s">
        <v>1384</v>
      </c>
      <c r="N244" t="s">
        <v>1174</v>
      </c>
    </row>
    <row r="245" spans="1:14" hidden="1">
      <c r="A245" t="s">
        <v>236</v>
      </c>
      <c r="B245" t="s">
        <v>287</v>
      </c>
      <c r="C245">
        <v>0</v>
      </c>
      <c r="D245">
        <v>60788064</v>
      </c>
      <c r="E245">
        <v>121696432</v>
      </c>
      <c r="F245">
        <v>182995080</v>
      </c>
      <c r="G245">
        <v>244140080</v>
      </c>
      <c r="H245">
        <v>121908374.2899006</v>
      </c>
      <c r="I245">
        <v>70428998.657321155</v>
      </c>
      <c r="J245" s="1">
        <v>1.2908395824143489E-2</v>
      </c>
      <c r="K245" t="s">
        <v>343</v>
      </c>
    </row>
    <row r="246" spans="1:14">
      <c r="A246" t="s">
        <v>236</v>
      </c>
      <c r="B246" t="s">
        <v>285</v>
      </c>
      <c r="C246">
        <v>-945663176</v>
      </c>
      <c r="D246">
        <v>-223651032</v>
      </c>
      <c r="E246">
        <v>0</v>
      </c>
      <c r="F246">
        <v>223350280</v>
      </c>
      <c r="G246">
        <v>936189608</v>
      </c>
      <c r="H246">
        <v>259564.6983277066</v>
      </c>
      <c r="I246">
        <v>313771181.28449869</v>
      </c>
      <c r="J246" s="1">
        <v>1.346713718570797E-2</v>
      </c>
    </row>
    <row r="247" spans="1:14">
      <c r="A247" t="s">
        <v>236</v>
      </c>
      <c r="B247" t="s">
        <v>245</v>
      </c>
      <c r="C247">
        <v>0</v>
      </c>
      <c r="D247">
        <v>1610075720</v>
      </c>
      <c r="E247">
        <v>1950122672</v>
      </c>
      <c r="F247">
        <v>2307134616</v>
      </c>
      <c r="G247">
        <v>4565405184</v>
      </c>
      <c r="H247">
        <v>1955836490.7800961</v>
      </c>
      <c r="I247">
        <v>543772685.25187159</v>
      </c>
      <c r="J247" s="1">
        <v>4.3333333333333328E-2</v>
      </c>
      <c r="L247" t="s">
        <v>1184</v>
      </c>
      <c r="M247" s="83" t="s">
        <v>1274</v>
      </c>
      <c r="N247" t="s">
        <v>1063</v>
      </c>
    </row>
    <row r="248" spans="1:14">
      <c r="A248" t="s">
        <v>236</v>
      </c>
      <c r="B248" t="s">
        <v>277</v>
      </c>
      <c r="C248">
        <v>-35917075.07692308</v>
      </c>
      <c r="D248">
        <v>-7271217.230769231</v>
      </c>
      <c r="E248">
        <v>0</v>
      </c>
      <c r="F248">
        <v>7280079.384615385</v>
      </c>
      <c r="G248">
        <v>36059854.153846152</v>
      </c>
      <c r="H248">
        <v>-3580.9081065651239</v>
      </c>
      <c r="I248">
        <v>10744307.76340773</v>
      </c>
      <c r="J248" s="1">
        <v>1.691368916335834E-2</v>
      </c>
      <c r="L248" t="s">
        <v>1185</v>
      </c>
      <c r="M248" s="83" t="s">
        <v>1273</v>
      </c>
      <c r="N248" t="s">
        <v>1101</v>
      </c>
    </row>
    <row r="249" spans="1:14">
      <c r="A249" t="s">
        <v>236</v>
      </c>
      <c r="B249" t="s">
        <v>288</v>
      </c>
      <c r="C249">
        <v>-31436384.77082162</v>
      </c>
      <c r="D249">
        <v>-8079531.9496065322</v>
      </c>
      <c r="E249">
        <v>65851.050739274477</v>
      </c>
      <c r="F249">
        <v>8156566.7596575506</v>
      </c>
      <c r="G249">
        <v>32413763.199999999</v>
      </c>
      <c r="H249">
        <v>30758.375153536919</v>
      </c>
      <c r="I249">
        <v>9723130.414275201</v>
      </c>
      <c r="J249" s="1">
        <v>1.262167328334074E-2</v>
      </c>
      <c r="L249" t="s">
        <v>1186</v>
      </c>
      <c r="M249" s="83" t="s">
        <v>1272</v>
      </c>
      <c r="N249" t="s">
        <v>1103</v>
      </c>
    </row>
    <row r="250" spans="1:14">
      <c r="A250" t="s">
        <v>236</v>
      </c>
      <c r="B250" t="s">
        <v>248</v>
      </c>
      <c r="C250">
        <v>-231266240</v>
      </c>
      <c r="D250">
        <v>138945600</v>
      </c>
      <c r="E250">
        <v>167597120</v>
      </c>
      <c r="F250">
        <v>193811000</v>
      </c>
      <c r="G250">
        <v>243929384</v>
      </c>
      <c r="H250">
        <v>163936183.4059799</v>
      </c>
      <c r="I250">
        <v>40770041.868298583</v>
      </c>
      <c r="J250" s="1">
        <v>3.830024996324069E-2</v>
      </c>
      <c r="L250" t="s">
        <v>1187</v>
      </c>
      <c r="M250" s="83" t="s">
        <v>1279</v>
      </c>
      <c r="N250" t="s">
        <v>1065</v>
      </c>
    </row>
    <row r="251" spans="1:14" hidden="1">
      <c r="A251" t="s">
        <v>236</v>
      </c>
      <c r="B251" t="s">
        <v>294</v>
      </c>
      <c r="C251">
        <v>-231266240</v>
      </c>
      <c r="D251">
        <v>-5065620.5714285718</v>
      </c>
      <c r="E251">
        <v>38798.857142857138</v>
      </c>
      <c r="F251">
        <v>5154762.2857142854</v>
      </c>
      <c r="G251">
        <v>230623240</v>
      </c>
      <c r="H251">
        <v>46985.866210947439</v>
      </c>
      <c r="I251">
        <v>8024541.7925733784</v>
      </c>
      <c r="J251" s="1">
        <v>9.5368328187031004E-3</v>
      </c>
      <c r="K251" t="s">
        <v>341</v>
      </c>
      <c r="L251" t="s">
        <v>1188</v>
      </c>
      <c r="M251" s="83" t="s">
        <v>1277</v>
      </c>
      <c r="N251" t="s">
        <v>1067</v>
      </c>
    </row>
    <row r="252" spans="1:14" hidden="1">
      <c r="A252" t="s">
        <v>236</v>
      </c>
      <c r="B252" t="s">
        <v>269</v>
      </c>
      <c r="C252">
        <v>0</v>
      </c>
      <c r="D252">
        <v>88560743.806190476</v>
      </c>
      <c r="E252">
        <v>101536646.73871291</v>
      </c>
      <c r="F252">
        <v>114207068.1222952</v>
      </c>
      <c r="G252">
        <v>297998256.56658381</v>
      </c>
      <c r="H252">
        <v>100774258.5794908</v>
      </c>
      <c r="I252">
        <v>20623882.001650192</v>
      </c>
      <c r="J252" s="1">
        <v>2.189383914130277E-2</v>
      </c>
      <c r="K252" t="s">
        <v>343</v>
      </c>
      <c r="L252" t="s">
        <v>1189</v>
      </c>
      <c r="M252" s="83" t="s">
        <v>1276</v>
      </c>
      <c r="N252" t="s">
        <v>1069</v>
      </c>
    </row>
    <row r="253" spans="1:14" hidden="1">
      <c r="A253" t="s">
        <v>236</v>
      </c>
      <c r="B253" t="s">
        <v>295</v>
      </c>
      <c r="C253">
        <v>-243737288</v>
      </c>
      <c r="D253">
        <v>-70483080</v>
      </c>
      <c r="E253">
        <v>528896</v>
      </c>
      <c r="F253">
        <v>71609792</v>
      </c>
      <c r="G253">
        <v>243931664</v>
      </c>
      <c r="H253">
        <v>429934.7863884315</v>
      </c>
      <c r="I253">
        <v>99420617.870736748</v>
      </c>
      <c r="J253" s="1">
        <v>8.9957359211880472E-3</v>
      </c>
      <c r="K253" t="s">
        <v>341</v>
      </c>
      <c r="L253" t="s">
        <v>1190</v>
      </c>
      <c r="M253" s="83" t="s">
        <v>1278</v>
      </c>
      <c r="N253" t="s">
        <v>1071</v>
      </c>
    </row>
    <row r="254" spans="1:14" hidden="1">
      <c r="A254" t="s">
        <v>236</v>
      </c>
      <c r="B254" t="s">
        <v>280</v>
      </c>
      <c r="C254">
        <v>-3.4743961448303531</v>
      </c>
      <c r="D254">
        <v>-0.69801725338174125</v>
      </c>
      <c r="E254">
        <v>1.198461367374859E-2</v>
      </c>
      <c r="F254">
        <v>0.69384969104046723</v>
      </c>
      <c r="G254">
        <v>3.4743961448609819</v>
      </c>
      <c r="H254">
        <v>2.0701620375458548E-3</v>
      </c>
      <c r="I254">
        <v>0.93825968293521544</v>
      </c>
      <c r="J254" s="1">
        <v>1.5613880311718901E-2</v>
      </c>
      <c r="K254" t="s">
        <v>343</v>
      </c>
      <c r="L254" t="s">
        <v>1191</v>
      </c>
      <c r="M254" s="83" t="s">
        <v>1275</v>
      </c>
      <c r="N254" t="s">
        <v>1073</v>
      </c>
    </row>
    <row r="255" spans="1:14" hidden="1">
      <c r="A255" t="s">
        <v>236</v>
      </c>
      <c r="B255" t="s">
        <v>286</v>
      </c>
      <c r="C255">
        <v>-945663176</v>
      </c>
      <c r="D255">
        <v>-223651032</v>
      </c>
      <c r="E255">
        <v>0</v>
      </c>
      <c r="F255">
        <v>223350280</v>
      </c>
      <c r="G255">
        <v>936189608</v>
      </c>
      <c r="H255">
        <v>259564.6983277066</v>
      </c>
      <c r="I255">
        <v>313771181.28449869</v>
      </c>
      <c r="J255" s="1">
        <v>1.346713718570797E-2</v>
      </c>
      <c r="K255" t="s">
        <v>343</v>
      </c>
    </row>
    <row r="256" spans="1:14">
      <c r="A256" t="s">
        <v>236</v>
      </c>
      <c r="B256" t="s">
        <v>244</v>
      </c>
      <c r="C256">
        <v>0</v>
      </c>
      <c r="D256">
        <v>3411265880</v>
      </c>
      <c r="E256">
        <v>3919979520</v>
      </c>
      <c r="F256">
        <v>4436880952</v>
      </c>
      <c r="G256">
        <v>7688970312</v>
      </c>
      <c r="H256">
        <v>3882790947.0083361</v>
      </c>
      <c r="I256">
        <v>895194766.60830188</v>
      </c>
      <c r="J256" s="1">
        <v>4.3431848257609151E-2</v>
      </c>
      <c r="L256" t="s">
        <v>1192</v>
      </c>
      <c r="M256" s="83" t="s">
        <v>1266</v>
      </c>
      <c r="N256" t="s">
        <v>1075</v>
      </c>
    </row>
    <row r="257" spans="1:14">
      <c r="A257" t="s">
        <v>236</v>
      </c>
      <c r="B257" t="s">
        <v>283</v>
      </c>
      <c r="C257">
        <v>-17411758.518518519</v>
      </c>
      <c r="D257">
        <v>-3441519.111111111</v>
      </c>
      <c r="E257">
        <v>0</v>
      </c>
      <c r="F257">
        <v>3448603.2592592589</v>
      </c>
      <c r="G257">
        <v>17367644.44444444</v>
      </c>
      <c r="H257">
        <v>1309.154458615985</v>
      </c>
      <c r="I257">
        <v>5133678.3744488051</v>
      </c>
      <c r="J257" s="1">
        <v>1.3574474342008541E-2</v>
      </c>
      <c r="L257" t="s">
        <v>1193</v>
      </c>
      <c r="M257" s="83" t="s">
        <v>1265</v>
      </c>
      <c r="N257" t="s">
        <v>1077</v>
      </c>
    </row>
    <row r="258" spans="1:14" hidden="1">
      <c r="A258" t="s">
        <v>236</v>
      </c>
      <c r="B258" t="s">
        <v>289</v>
      </c>
      <c r="C258">
        <v>-15949395.86206897</v>
      </c>
      <c r="D258">
        <v>-4165453.0993689648</v>
      </c>
      <c r="E258">
        <v>35498.432450888678</v>
      </c>
      <c r="F258">
        <v>4223348.7141540684</v>
      </c>
      <c r="G258">
        <v>16765739.5862069</v>
      </c>
      <c r="H258">
        <v>26042.16077296326</v>
      </c>
      <c r="I258">
        <v>4954338.2970170379</v>
      </c>
      <c r="J258" s="1">
        <v>1.256726951918841E-2</v>
      </c>
      <c r="K258" t="s">
        <v>343</v>
      </c>
      <c r="L258" t="s">
        <v>1194</v>
      </c>
      <c r="M258" s="83" t="s">
        <v>1264</v>
      </c>
      <c r="N258" t="s">
        <v>1079</v>
      </c>
    </row>
    <row r="259" spans="1:14">
      <c r="A259" t="s">
        <v>236</v>
      </c>
      <c r="B259" t="s">
        <v>249</v>
      </c>
      <c r="C259">
        <v>-231266240</v>
      </c>
      <c r="D259">
        <v>165821176</v>
      </c>
      <c r="E259">
        <v>188474040</v>
      </c>
      <c r="F259">
        <v>208118312</v>
      </c>
      <c r="G259">
        <v>243929384</v>
      </c>
      <c r="H259">
        <v>183736460.23631939</v>
      </c>
      <c r="I259">
        <v>35098427.6031271</v>
      </c>
      <c r="J259" s="1">
        <v>3.7807675341861503E-2</v>
      </c>
      <c r="L259" t="s">
        <v>1195</v>
      </c>
      <c r="M259" s="83" t="s">
        <v>1271</v>
      </c>
      <c r="N259" t="s">
        <v>1081</v>
      </c>
    </row>
    <row r="260" spans="1:14">
      <c r="A260" t="s">
        <v>236</v>
      </c>
      <c r="B260" t="s">
        <v>293</v>
      </c>
      <c r="C260">
        <v>-231266240</v>
      </c>
      <c r="D260">
        <v>-2548407.7142857141</v>
      </c>
      <c r="E260">
        <v>23883.428571428569</v>
      </c>
      <c r="F260">
        <v>2615565.1428571432</v>
      </c>
      <c r="G260">
        <v>230623240</v>
      </c>
      <c r="H260">
        <v>47792.77412311246</v>
      </c>
      <c r="I260">
        <v>5221907.669612404</v>
      </c>
      <c r="J260" s="1">
        <v>1.122776062343772E-2</v>
      </c>
      <c r="L260" t="s">
        <v>1196</v>
      </c>
      <c r="M260" s="83" t="s">
        <v>1269</v>
      </c>
      <c r="N260" t="s">
        <v>1083</v>
      </c>
    </row>
    <row r="261" spans="1:14">
      <c r="A261" t="s">
        <v>236</v>
      </c>
      <c r="B261" t="s">
        <v>262</v>
      </c>
      <c r="C261">
        <v>0</v>
      </c>
      <c r="D261">
        <v>91438797.655444413</v>
      </c>
      <c r="E261">
        <v>100581722.87961499</v>
      </c>
      <c r="F261">
        <v>109615040.061341</v>
      </c>
      <c r="G261">
        <v>297998256.56658381</v>
      </c>
      <c r="H261">
        <v>99864043.815321758</v>
      </c>
      <c r="I261">
        <v>15879272.174732581</v>
      </c>
      <c r="J261" s="1">
        <v>3.1639464784590482E-2</v>
      </c>
      <c r="L261" t="s">
        <v>1197</v>
      </c>
      <c r="M261" s="83" t="s">
        <v>1268</v>
      </c>
      <c r="N261" t="s">
        <v>1085</v>
      </c>
    </row>
    <row r="262" spans="1:14" hidden="1">
      <c r="A262" t="s">
        <v>236</v>
      </c>
      <c r="B262" t="s">
        <v>291</v>
      </c>
      <c r="C262">
        <v>-243909864</v>
      </c>
      <c r="D262">
        <v>-70385472</v>
      </c>
      <c r="E262">
        <v>631472</v>
      </c>
      <c r="F262">
        <v>71989560</v>
      </c>
      <c r="G262">
        <v>243764440</v>
      </c>
      <c r="H262">
        <v>637994.80613363499</v>
      </c>
      <c r="I262">
        <v>99469849.48123771</v>
      </c>
      <c r="J262" s="1">
        <v>1.1717394500808659E-2</v>
      </c>
      <c r="K262" t="s">
        <v>343</v>
      </c>
      <c r="L262" t="s">
        <v>1198</v>
      </c>
      <c r="M262" s="83" t="s">
        <v>1270</v>
      </c>
      <c r="N262" t="s">
        <v>1087</v>
      </c>
    </row>
    <row r="263" spans="1:14" hidden="1">
      <c r="A263" t="s">
        <v>236</v>
      </c>
      <c r="B263" t="s">
        <v>274</v>
      </c>
      <c r="C263">
        <v>-5.0940174299024292</v>
      </c>
      <c r="D263">
        <v>-0.70549440164394772</v>
      </c>
      <c r="E263">
        <v>1.092565490113178E-2</v>
      </c>
      <c r="F263">
        <v>0.70161251487676679</v>
      </c>
      <c r="G263">
        <v>5.1022527154944264</v>
      </c>
      <c r="H263">
        <v>2.379087982888438E-3</v>
      </c>
      <c r="I263">
        <v>0.97118899334610442</v>
      </c>
      <c r="J263" s="1">
        <v>2.0267607704749339E-2</v>
      </c>
      <c r="K263" t="s">
        <v>343</v>
      </c>
      <c r="L263" t="s">
        <v>1199</v>
      </c>
      <c r="M263" s="83" t="s">
        <v>1267</v>
      </c>
      <c r="N263" t="s">
        <v>1089</v>
      </c>
    </row>
    <row r="264" spans="1:14" hidden="1">
      <c r="A264" t="s">
        <v>236</v>
      </c>
      <c r="B264" t="s">
        <v>284</v>
      </c>
      <c r="C264">
        <v>-945663176</v>
      </c>
      <c r="D264">
        <v>-223651032</v>
      </c>
      <c r="E264">
        <v>0</v>
      </c>
      <c r="F264">
        <v>223350280</v>
      </c>
      <c r="G264">
        <v>936189608</v>
      </c>
      <c r="H264">
        <v>259564.6983277066</v>
      </c>
      <c r="I264">
        <v>313771181.28449869</v>
      </c>
      <c r="J264" s="1">
        <v>1.346713718570797E-2</v>
      </c>
      <c r="K264" t="s">
        <v>343</v>
      </c>
    </row>
    <row r="265" spans="1:14">
      <c r="A265" t="s">
        <v>236</v>
      </c>
      <c r="B265" t="s">
        <v>267</v>
      </c>
      <c r="C265">
        <v>0</v>
      </c>
      <c r="D265">
        <v>736355968</v>
      </c>
      <c r="E265">
        <v>963159256</v>
      </c>
      <c r="F265">
        <v>1209718168</v>
      </c>
      <c r="G265">
        <v>2781448760</v>
      </c>
      <c r="H265">
        <v>981762678.24092555</v>
      </c>
      <c r="I265">
        <v>352456994.23959619</v>
      </c>
      <c r="J265" s="1">
        <v>2.5183061314512579E-2</v>
      </c>
      <c r="L265" t="s">
        <v>1176</v>
      </c>
      <c r="M265" s="83" t="s">
        <v>1282</v>
      </c>
      <c r="N265" t="s">
        <v>1047</v>
      </c>
    </row>
    <row r="266" spans="1:14">
      <c r="A266" t="s">
        <v>236</v>
      </c>
      <c r="B266" t="s">
        <v>276</v>
      </c>
      <c r="C266">
        <v>-79279978.666666672</v>
      </c>
      <c r="D266">
        <v>-15702424</v>
      </c>
      <c r="E266">
        <v>0</v>
      </c>
      <c r="F266">
        <v>15781342.66666667</v>
      </c>
      <c r="G266">
        <v>79034349.333333328</v>
      </c>
      <c r="H266">
        <v>53281.194766543267</v>
      </c>
      <c r="I266">
        <v>23332539.852109101</v>
      </c>
      <c r="J266" s="1">
        <v>1.734597853256881E-2</v>
      </c>
      <c r="L266" t="s">
        <v>1177</v>
      </c>
      <c r="M266" s="83" t="s">
        <v>1281</v>
      </c>
      <c r="N266" t="s">
        <v>1049</v>
      </c>
    </row>
    <row r="267" spans="1:14" hidden="1">
      <c r="A267" t="s">
        <v>236</v>
      </c>
      <c r="B267" t="s">
        <v>278</v>
      </c>
      <c r="C267">
        <v>-60372425.906977899</v>
      </c>
      <c r="D267">
        <v>-15189163.06702563</v>
      </c>
      <c r="E267">
        <v>134915.81999796821</v>
      </c>
      <c r="F267">
        <v>15292585.945923939</v>
      </c>
      <c r="G267">
        <v>60775806</v>
      </c>
      <c r="H267">
        <v>40078.66923848357</v>
      </c>
      <c r="I267">
        <v>18812915.943235449</v>
      </c>
      <c r="J267" s="1">
        <v>1.6278488457579791E-2</v>
      </c>
      <c r="K267" t="s">
        <v>343</v>
      </c>
      <c r="L267" t="s">
        <v>1178</v>
      </c>
      <c r="M267" s="83" t="s">
        <v>1280</v>
      </c>
      <c r="N267" t="s">
        <v>1051</v>
      </c>
    </row>
    <row r="268" spans="1:14">
      <c r="A268" t="s">
        <v>236</v>
      </c>
      <c r="B268" t="s">
        <v>253</v>
      </c>
      <c r="C268">
        <v>-231266240</v>
      </c>
      <c r="D268">
        <v>106176992</v>
      </c>
      <c r="E268">
        <v>140451712</v>
      </c>
      <c r="F268">
        <v>174377864</v>
      </c>
      <c r="G268">
        <v>243929384</v>
      </c>
      <c r="H268">
        <v>139099861.28752619</v>
      </c>
      <c r="I268">
        <v>47348713.491642222</v>
      </c>
      <c r="J268" s="1">
        <v>3.5450669019261867E-2</v>
      </c>
      <c r="L268" t="s">
        <v>1179</v>
      </c>
      <c r="M268" s="83" t="s">
        <v>1287</v>
      </c>
      <c r="N268" t="s">
        <v>1053</v>
      </c>
    </row>
    <row r="269" spans="1:14" hidden="1">
      <c r="A269" t="s">
        <v>236</v>
      </c>
      <c r="B269" t="s">
        <v>292</v>
      </c>
      <c r="C269">
        <v>-231266240</v>
      </c>
      <c r="D269">
        <v>-10141388.571428571</v>
      </c>
      <c r="E269">
        <v>59666.285714285717</v>
      </c>
      <c r="F269">
        <v>10183062.85714286</v>
      </c>
      <c r="G269">
        <v>230623240</v>
      </c>
      <c r="H269">
        <v>34421.283627598372</v>
      </c>
      <c r="I269">
        <v>14633116.95672567</v>
      </c>
      <c r="J269" s="1">
        <v>1.156153506837226E-2</v>
      </c>
      <c r="K269" t="s">
        <v>343</v>
      </c>
      <c r="L269" t="s">
        <v>1180</v>
      </c>
      <c r="M269" s="83" t="s">
        <v>1285</v>
      </c>
      <c r="N269" t="s">
        <v>1055</v>
      </c>
    </row>
    <row r="270" spans="1:14">
      <c r="A270" t="s">
        <v>236</v>
      </c>
      <c r="B270" t="s">
        <v>279</v>
      </c>
      <c r="C270">
        <v>0</v>
      </c>
      <c r="D270">
        <v>84243266.628931701</v>
      </c>
      <c r="E270">
        <v>102827262.81867421</v>
      </c>
      <c r="F270">
        <v>121529250.8081958</v>
      </c>
      <c r="G270">
        <v>297998256.56658381</v>
      </c>
      <c r="H270">
        <v>102299942.3720174</v>
      </c>
      <c r="I270">
        <v>28642071.794496581</v>
      </c>
      <c r="J270" s="1">
        <v>1.6116747537126899E-2</v>
      </c>
      <c r="L270" t="s">
        <v>1181</v>
      </c>
      <c r="M270" s="83" t="s">
        <v>1284</v>
      </c>
      <c r="N270" t="s">
        <v>1057</v>
      </c>
    </row>
    <row r="271" spans="1:14" hidden="1">
      <c r="A271" t="s">
        <v>236</v>
      </c>
      <c r="B271" t="s">
        <v>290</v>
      </c>
      <c r="C271">
        <v>-243819152</v>
      </c>
      <c r="D271">
        <v>-70783152</v>
      </c>
      <c r="E271">
        <v>414688</v>
      </c>
      <c r="F271">
        <v>71027632</v>
      </c>
      <c r="G271">
        <v>243950880</v>
      </c>
      <c r="H271">
        <v>175639.4963888537</v>
      </c>
      <c r="I271">
        <v>99356004.455617398</v>
      </c>
      <c r="J271" s="1">
        <v>1.253786207910601E-2</v>
      </c>
      <c r="K271" t="s">
        <v>343</v>
      </c>
      <c r="L271" t="s">
        <v>1182</v>
      </c>
      <c r="M271" s="83" t="s">
        <v>1286</v>
      </c>
      <c r="N271" t="s">
        <v>1059</v>
      </c>
    </row>
    <row r="272" spans="1:14" hidden="1">
      <c r="A272" t="s">
        <v>236</v>
      </c>
      <c r="B272" t="s">
        <v>282</v>
      </c>
      <c r="C272">
        <v>-2.267786838054167</v>
      </c>
      <c r="D272">
        <v>-0.68946027201965632</v>
      </c>
      <c r="E272">
        <v>1.249565238909855E-2</v>
      </c>
      <c r="F272">
        <v>0.68563822788199558</v>
      </c>
      <c r="G272">
        <v>2.267786838055116</v>
      </c>
      <c r="H272">
        <v>1.8167572968722651E-3</v>
      </c>
      <c r="I272">
        <v>0.88260908648067005</v>
      </c>
      <c r="J272" s="1">
        <v>1.4591971768857509E-2</v>
      </c>
      <c r="K272" t="s">
        <v>343</v>
      </c>
      <c r="L272" t="s">
        <v>1183</v>
      </c>
      <c r="M272" s="83" t="s">
        <v>1283</v>
      </c>
      <c r="N272" t="s">
        <v>1061</v>
      </c>
    </row>
    <row r="273" spans="1:14">
      <c r="A273" t="s">
        <v>236</v>
      </c>
      <c r="B273" t="s">
        <v>275</v>
      </c>
      <c r="C273">
        <v>-243976792</v>
      </c>
      <c r="D273">
        <v>-71327884</v>
      </c>
      <c r="E273">
        <v>972860</v>
      </c>
      <c r="F273">
        <v>70748496</v>
      </c>
      <c r="G273">
        <v>243786952</v>
      </c>
      <c r="H273">
        <v>145858.685740771</v>
      </c>
      <c r="I273">
        <v>99459279.718928471</v>
      </c>
      <c r="J273" s="1">
        <v>2.020199356871738E-2</v>
      </c>
      <c r="L273" t="s">
        <v>1498</v>
      </c>
    </row>
    <row r="274" spans="1:14">
      <c r="A274" t="s">
        <v>296</v>
      </c>
      <c r="B274" t="s">
        <v>306</v>
      </c>
      <c r="C274">
        <v>0</v>
      </c>
      <c r="D274">
        <v>210127274.25</v>
      </c>
      <c r="E274">
        <v>443533009</v>
      </c>
      <c r="F274">
        <v>711317758.75</v>
      </c>
      <c r="G274">
        <v>4205840692</v>
      </c>
      <c r="H274">
        <v>464650178.13762081</v>
      </c>
      <c r="I274">
        <v>289840889.06374067</v>
      </c>
      <c r="J274" s="1">
        <v>5.4483503338583428E-2</v>
      </c>
      <c r="L274" t="s">
        <v>1500</v>
      </c>
    </row>
    <row r="275" spans="1:14">
      <c r="A275" t="s">
        <v>296</v>
      </c>
      <c r="B275" t="s">
        <v>310</v>
      </c>
      <c r="C275">
        <v>-12645271371</v>
      </c>
      <c r="D275">
        <v>-402135</v>
      </c>
      <c r="E275">
        <v>19262</v>
      </c>
      <c r="F275">
        <v>579453</v>
      </c>
      <c r="G275">
        <v>11999125551</v>
      </c>
      <c r="H275">
        <v>77418.557800905808</v>
      </c>
      <c r="I275">
        <v>102534685.5164424</v>
      </c>
      <c r="J275" s="1">
        <v>4.6282899573592107E-2</v>
      </c>
      <c r="L275" t="s">
        <v>1499</v>
      </c>
    </row>
    <row r="276" spans="1:14" hidden="1">
      <c r="A276" t="s">
        <v>296</v>
      </c>
      <c r="B276" t="s">
        <v>299</v>
      </c>
      <c r="C276">
        <v>0</v>
      </c>
      <c r="D276">
        <v>2043177</v>
      </c>
      <c r="E276">
        <v>7051210</v>
      </c>
      <c r="F276">
        <v>9780672</v>
      </c>
      <c r="G276">
        <v>16865551821</v>
      </c>
      <c r="H276">
        <v>45475530.463628672</v>
      </c>
      <c r="I276">
        <v>320053692.275648</v>
      </c>
      <c r="J276" s="1">
        <v>9.3458314953683286E-2</v>
      </c>
      <c r="K276" t="s">
        <v>343</v>
      </c>
      <c r="L276" t="s">
        <v>1208</v>
      </c>
      <c r="M276" s="83" t="s">
        <v>1250</v>
      </c>
      <c r="N276" t="s">
        <v>1063</v>
      </c>
    </row>
    <row r="277" spans="1:14">
      <c r="A277" t="s">
        <v>296</v>
      </c>
      <c r="B277" t="s">
        <v>321</v>
      </c>
      <c r="C277">
        <v>-324277842.46153837</v>
      </c>
      <c r="D277">
        <v>-26452.461538461539</v>
      </c>
      <c r="E277">
        <v>0</v>
      </c>
      <c r="F277">
        <v>25314.461538461539</v>
      </c>
      <c r="G277">
        <v>296874524.30769229</v>
      </c>
      <c r="H277">
        <v>-2825.8658412650002</v>
      </c>
      <c r="I277">
        <v>4232854.9357614573</v>
      </c>
      <c r="J277" s="1">
        <v>3.2864284664020027E-2</v>
      </c>
      <c r="L277" t="s">
        <v>1209</v>
      </c>
      <c r="M277" s="83" t="s">
        <v>1249</v>
      </c>
      <c r="N277" t="s">
        <v>1101</v>
      </c>
    </row>
    <row r="278" spans="1:14" hidden="1">
      <c r="A278" t="s">
        <v>296</v>
      </c>
      <c r="B278" t="s">
        <v>317</v>
      </c>
      <c r="C278">
        <v>-133218496.2666667</v>
      </c>
      <c r="D278">
        <v>925174.69886740763</v>
      </c>
      <c r="E278">
        <v>1315920.882777825</v>
      </c>
      <c r="F278">
        <v>1678198.0522537751</v>
      </c>
      <c r="G278">
        <v>515670299.43604177</v>
      </c>
      <c r="H278">
        <v>199205.8472407136</v>
      </c>
      <c r="I278">
        <v>9179822.0220565256</v>
      </c>
      <c r="J278" s="1">
        <v>4.1945302161446853E-2</v>
      </c>
      <c r="K278" t="s">
        <v>343</v>
      </c>
      <c r="L278" t="s">
        <v>1210</v>
      </c>
      <c r="M278" s="83" t="s">
        <v>1248</v>
      </c>
      <c r="N278" t="s">
        <v>1103</v>
      </c>
    </row>
    <row r="279" spans="1:14" hidden="1">
      <c r="A279" t="s">
        <v>296</v>
      </c>
      <c r="B279" t="s">
        <v>301</v>
      </c>
      <c r="C279">
        <v>-999138722</v>
      </c>
      <c r="D279">
        <v>1498674</v>
      </c>
      <c r="E279">
        <v>2279953</v>
      </c>
      <c r="F279">
        <v>2947918</v>
      </c>
      <c r="G279">
        <v>4215565193</v>
      </c>
      <c r="H279">
        <v>3984193.4717506599</v>
      </c>
      <c r="I279">
        <v>52461639.153293617</v>
      </c>
      <c r="J279" s="1">
        <v>7.6991618879576507E-2</v>
      </c>
      <c r="K279" t="s">
        <v>343</v>
      </c>
      <c r="L279" t="s">
        <v>1211</v>
      </c>
      <c r="M279" s="83" t="s">
        <v>1255</v>
      </c>
      <c r="N279" t="s">
        <v>1065</v>
      </c>
    </row>
    <row r="280" spans="1:14">
      <c r="A280" t="s">
        <v>296</v>
      </c>
      <c r="B280" t="s">
        <v>314</v>
      </c>
      <c r="C280">
        <v>-999138722</v>
      </c>
      <c r="D280">
        <v>977983.64285714284</v>
      </c>
      <c r="E280">
        <v>1350747.2142857141</v>
      </c>
      <c r="F280">
        <v>1700566.7142857141</v>
      </c>
      <c r="G280">
        <v>276756250.78571433</v>
      </c>
      <c r="H280">
        <v>212964.27273758681</v>
      </c>
      <c r="I280">
        <v>9137919.0277180467</v>
      </c>
      <c r="J280" s="1">
        <v>4.5074253786207913E-2</v>
      </c>
      <c r="L280" t="s">
        <v>1212</v>
      </c>
      <c r="M280" s="83" t="s">
        <v>1253</v>
      </c>
      <c r="N280" t="s">
        <v>1067</v>
      </c>
    </row>
    <row r="281" spans="1:14" hidden="1">
      <c r="A281" t="s">
        <v>296</v>
      </c>
      <c r="B281" t="s">
        <v>304</v>
      </c>
      <c r="C281">
        <v>0</v>
      </c>
      <c r="D281">
        <v>202114.5506967291</v>
      </c>
      <c r="E281">
        <v>477834.12442965608</v>
      </c>
      <c r="F281">
        <v>642166.14807817922</v>
      </c>
      <c r="G281">
        <v>1653295547.6372859</v>
      </c>
      <c r="H281">
        <v>5393711.0932354704</v>
      </c>
      <c r="I281">
        <v>39151765.450583927</v>
      </c>
      <c r="J281" s="1">
        <v>7.3030436700485257E-2</v>
      </c>
      <c r="K281" t="s">
        <v>343</v>
      </c>
      <c r="L281" t="s">
        <v>1213</v>
      </c>
      <c r="M281" s="83" t="s">
        <v>1252</v>
      </c>
      <c r="N281" t="s">
        <v>1069</v>
      </c>
    </row>
    <row r="282" spans="1:14" hidden="1">
      <c r="A282" t="s">
        <v>296</v>
      </c>
      <c r="B282" t="s">
        <v>308</v>
      </c>
      <c r="C282">
        <v>-3567447054</v>
      </c>
      <c r="D282">
        <v>13600615</v>
      </c>
      <c r="E282">
        <v>18866059</v>
      </c>
      <c r="F282">
        <v>23783421</v>
      </c>
      <c r="G282">
        <v>3874587511</v>
      </c>
      <c r="H282">
        <v>2915112.5580818779</v>
      </c>
      <c r="I282">
        <v>126645598.44620299</v>
      </c>
      <c r="J282" s="1">
        <v>4.9838259079547108E-2</v>
      </c>
      <c r="K282" t="s">
        <v>343</v>
      </c>
      <c r="L282" t="s">
        <v>1214</v>
      </c>
      <c r="M282" s="83" t="s">
        <v>1254</v>
      </c>
      <c r="N282" t="s">
        <v>1071</v>
      </c>
    </row>
    <row r="283" spans="1:14" hidden="1">
      <c r="A283" t="s">
        <v>296</v>
      </c>
      <c r="B283" t="s">
        <v>325</v>
      </c>
      <c r="C283">
        <v>-3.474396144809802</v>
      </c>
      <c r="D283">
        <v>-0.70916400185846351</v>
      </c>
      <c r="E283">
        <v>-0.12929869462125959</v>
      </c>
      <c r="F283">
        <v>0.57480193515759059</v>
      </c>
      <c r="G283">
        <v>3.47439614485392</v>
      </c>
      <c r="H283">
        <v>-2.0014989600453281E-2</v>
      </c>
      <c r="I283">
        <v>1.0027970663088239</v>
      </c>
      <c r="J283" s="1">
        <v>2.2146743126010889E-2</v>
      </c>
      <c r="K283" t="s">
        <v>343</v>
      </c>
      <c r="L283" t="s">
        <v>1215</v>
      </c>
      <c r="M283" s="83" t="s">
        <v>1251</v>
      </c>
      <c r="N283" t="s">
        <v>1073</v>
      </c>
    </row>
    <row r="284" spans="1:14" hidden="1">
      <c r="A284" t="s">
        <v>296</v>
      </c>
      <c r="B284" t="s">
        <v>311</v>
      </c>
      <c r="C284">
        <v>-12645271371</v>
      </c>
      <c r="D284">
        <v>-402135</v>
      </c>
      <c r="E284">
        <v>19262</v>
      </c>
      <c r="F284">
        <v>579453</v>
      </c>
      <c r="G284">
        <v>11999125551</v>
      </c>
      <c r="H284">
        <v>77418.557800905808</v>
      </c>
      <c r="I284">
        <v>102534685.5164424</v>
      </c>
      <c r="J284" s="1">
        <v>4.6282899573592107E-2</v>
      </c>
      <c r="K284" t="s">
        <v>343</v>
      </c>
    </row>
    <row r="285" spans="1:14">
      <c r="A285" t="s">
        <v>296</v>
      </c>
      <c r="B285" t="s">
        <v>297</v>
      </c>
      <c r="C285">
        <v>0</v>
      </c>
      <c r="D285">
        <v>3977179</v>
      </c>
      <c r="E285">
        <v>14698372</v>
      </c>
      <c r="F285">
        <v>19795090</v>
      </c>
      <c r="G285">
        <v>16871143831</v>
      </c>
      <c r="H285">
        <v>91274368.057801634</v>
      </c>
      <c r="I285">
        <v>455183654.80956072</v>
      </c>
      <c r="J285" s="1">
        <v>9.6324069989707384E-2</v>
      </c>
      <c r="L285" t="s">
        <v>1216</v>
      </c>
      <c r="M285" s="83" t="s">
        <v>1242</v>
      </c>
      <c r="N285" t="s">
        <v>1075</v>
      </c>
    </row>
    <row r="286" spans="1:14">
      <c r="A286" t="s">
        <v>296</v>
      </c>
      <c r="B286" t="s">
        <v>322</v>
      </c>
      <c r="C286">
        <v>-156139235.18518519</v>
      </c>
      <c r="D286">
        <v>-13107.703703703701</v>
      </c>
      <c r="E286">
        <v>0</v>
      </c>
      <c r="F286">
        <v>12514.740740740741</v>
      </c>
      <c r="G286">
        <v>146410766.03703699</v>
      </c>
      <c r="H286">
        <v>-2814.1390476939182</v>
      </c>
      <c r="I286">
        <v>2023098.0362618761</v>
      </c>
      <c r="J286" s="1">
        <v>2.8082634906631321E-2</v>
      </c>
      <c r="L286" t="s">
        <v>1217</v>
      </c>
      <c r="M286" s="83" t="s">
        <v>1241</v>
      </c>
      <c r="N286" t="s">
        <v>1077</v>
      </c>
    </row>
    <row r="287" spans="1:14" hidden="1">
      <c r="A287" t="s">
        <v>296</v>
      </c>
      <c r="B287" t="s">
        <v>320</v>
      </c>
      <c r="C287">
        <v>-68906118.758620694</v>
      </c>
      <c r="D287">
        <v>870771.90874475241</v>
      </c>
      <c r="E287">
        <v>1277489.9865588569</v>
      </c>
      <c r="F287">
        <v>1657236.0651222621</v>
      </c>
      <c r="G287">
        <v>267189270.83803639</v>
      </c>
      <c r="H287">
        <v>191082.98117178009</v>
      </c>
      <c r="I287">
        <v>6354537.5515361251</v>
      </c>
      <c r="J287" s="1">
        <v>3.4656668137038688E-2</v>
      </c>
      <c r="K287" t="s">
        <v>343</v>
      </c>
      <c r="L287" t="s">
        <v>1218</v>
      </c>
      <c r="M287" s="83" t="s">
        <v>1240</v>
      </c>
      <c r="N287" t="s">
        <v>1079</v>
      </c>
    </row>
    <row r="288" spans="1:14">
      <c r="A288" t="s">
        <v>296</v>
      </c>
      <c r="B288" t="s">
        <v>302</v>
      </c>
      <c r="C288">
        <v>-999138722</v>
      </c>
      <c r="D288">
        <v>1654301</v>
      </c>
      <c r="E288">
        <v>2528680</v>
      </c>
      <c r="F288">
        <v>3240764</v>
      </c>
      <c r="G288">
        <v>4215565193</v>
      </c>
      <c r="H288">
        <v>5924123.328329701</v>
      </c>
      <c r="I288">
        <v>73959295.90557678</v>
      </c>
      <c r="J288" s="1">
        <v>7.5280105866784297E-2</v>
      </c>
      <c r="L288" t="s">
        <v>1219</v>
      </c>
      <c r="M288" s="83" t="s">
        <v>1247</v>
      </c>
      <c r="N288" t="s">
        <v>1081</v>
      </c>
    </row>
    <row r="289" spans="1:14" hidden="1">
      <c r="A289" t="s">
        <v>296</v>
      </c>
      <c r="B289" t="s">
        <v>318</v>
      </c>
      <c r="C289">
        <v>-999138722</v>
      </c>
      <c r="D289">
        <v>965587.67857142852</v>
      </c>
      <c r="E289">
        <v>1337745.357142857</v>
      </c>
      <c r="F289">
        <v>1695813</v>
      </c>
      <c r="G289">
        <v>219784955.75</v>
      </c>
      <c r="H289">
        <v>201394.75673321649</v>
      </c>
      <c r="I289">
        <v>6459341.5076586613</v>
      </c>
      <c r="J289" s="1">
        <v>4.083076018232612E-2</v>
      </c>
      <c r="K289" t="s">
        <v>343</v>
      </c>
      <c r="L289" t="s">
        <v>1220</v>
      </c>
      <c r="M289" s="83" t="s">
        <v>1245</v>
      </c>
      <c r="N289" t="s">
        <v>1083</v>
      </c>
    </row>
    <row r="290" spans="1:14" hidden="1">
      <c r="A290" t="s">
        <v>296</v>
      </c>
      <c r="B290" t="s">
        <v>303</v>
      </c>
      <c r="C290">
        <v>0</v>
      </c>
      <c r="D290">
        <v>247465.47160157401</v>
      </c>
      <c r="E290">
        <v>509244.17818615341</v>
      </c>
      <c r="F290">
        <v>658737.28158007457</v>
      </c>
      <c r="G290">
        <v>1152969782.9472289</v>
      </c>
      <c r="H290">
        <v>7482591.9719366217</v>
      </c>
      <c r="I290">
        <v>38756881.598956987</v>
      </c>
      <c r="J290" s="1">
        <v>7.3334803705337459E-2</v>
      </c>
      <c r="K290" t="s">
        <v>343</v>
      </c>
      <c r="L290" t="s">
        <v>1221</v>
      </c>
      <c r="M290" s="83" t="s">
        <v>1244</v>
      </c>
      <c r="N290" t="s">
        <v>1085</v>
      </c>
    </row>
    <row r="291" spans="1:14" hidden="1">
      <c r="A291" t="s">
        <v>296</v>
      </c>
      <c r="B291" t="s">
        <v>313</v>
      </c>
      <c r="C291">
        <v>-3909166409</v>
      </c>
      <c r="D291">
        <v>26597855</v>
      </c>
      <c r="E291">
        <v>37261996</v>
      </c>
      <c r="F291">
        <v>47375748</v>
      </c>
      <c r="G291">
        <v>3885493067</v>
      </c>
      <c r="H291">
        <v>5321499.1047734683</v>
      </c>
      <c r="I291">
        <v>177001862.8320297</v>
      </c>
      <c r="J291" s="1">
        <v>4.5490369063373032E-2</v>
      </c>
      <c r="K291" t="s">
        <v>343</v>
      </c>
      <c r="L291" t="s">
        <v>1222</v>
      </c>
      <c r="M291" s="83" t="s">
        <v>1246</v>
      </c>
      <c r="N291" t="s">
        <v>1087</v>
      </c>
    </row>
    <row r="292" spans="1:14" hidden="1">
      <c r="A292" t="s">
        <v>296</v>
      </c>
      <c r="B292" t="s">
        <v>323</v>
      </c>
      <c r="C292">
        <v>-5.1025203854524968</v>
      </c>
      <c r="D292">
        <v>-0.69430293554737188</v>
      </c>
      <c r="E292">
        <v>-0.10841465757403319</v>
      </c>
      <c r="F292">
        <v>0.51203994023128108</v>
      </c>
      <c r="G292">
        <v>5.102520385603003</v>
      </c>
      <c r="H292">
        <v>-2.8618645140122051E-2</v>
      </c>
      <c r="I292">
        <v>1.0372548641315249</v>
      </c>
      <c r="J292" s="1">
        <v>2.3102484928686971E-2</v>
      </c>
      <c r="K292" t="s">
        <v>343</v>
      </c>
      <c r="L292" t="s">
        <v>1223</v>
      </c>
      <c r="M292" s="83" t="s">
        <v>1243</v>
      </c>
      <c r="N292" t="s">
        <v>1089</v>
      </c>
    </row>
    <row r="293" spans="1:14" hidden="1">
      <c r="A293" t="s">
        <v>296</v>
      </c>
      <c r="B293" t="s">
        <v>309</v>
      </c>
      <c r="C293">
        <v>-12645271371</v>
      </c>
      <c r="D293">
        <v>-402135</v>
      </c>
      <c r="E293">
        <v>19262</v>
      </c>
      <c r="F293">
        <v>579453</v>
      </c>
      <c r="G293">
        <v>11999125551</v>
      </c>
      <c r="H293">
        <v>77418.557800905808</v>
      </c>
      <c r="I293">
        <v>102534685.5164424</v>
      </c>
      <c r="J293" s="1">
        <v>4.6282899573592107E-2</v>
      </c>
      <c r="K293" t="s">
        <v>343</v>
      </c>
    </row>
    <row r="294" spans="1:14" hidden="1">
      <c r="A294" t="s">
        <v>296</v>
      </c>
      <c r="B294" t="s">
        <v>298</v>
      </c>
      <c r="C294">
        <v>0</v>
      </c>
      <c r="D294">
        <v>992794</v>
      </c>
      <c r="E294">
        <v>3286464</v>
      </c>
      <c r="F294">
        <v>4871128</v>
      </c>
      <c r="G294">
        <v>16002366028</v>
      </c>
      <c r="H294">
        <v>22646304.979467198</v>
      </c>
      <c r="I294">
        <v>219154073.4435702</v>
      </c>
      <c r="J294" s="1">
        <v>9.346860755771208E-2</v>
      </c>
      <c r="K294" t="s">
        <v>343</v>
      </c>
      <c r="L294" t="s">
        <v>1200</v>
      </c>
      <c r="M294" s="83" t="s">
        <v>1258</v>
      </c>
      <c r="N294" t="s">
        <v>1047</v>
      </c>
    </row>
    <row r="295" spans="1:14">
      <c r="A295" t="s">
        <v>296</v>
      </c>
      <c r="B295" t="s">
        <v>316</v>
      </c>
      <c r="C295">
        <v>-702718999</v>
      </c>
      <c r="D295">
        <v>-54380.5</v>
      </c>
      <c r="E295">
        <v>0</v>
      </c>
      <c r="F295">
        <v>52807.166666666657</v>
      </c>
      <c r="G295">
        <v>702568272</v>
      </c>
      <c r="H295">
        <v>9765.7840892161566</v>
      </c>
      <c r="I295">
        <v>9285014.8138943762</v>
      </c>
      <c r="J295" s="1">
        <v>4.2917218056168223E-2</v>
      </c>
      <c r="L295" t="s">
        <v>1201</v>
      </c>
      <c r="M295" s="83" t="s">
        <v>1257</v>
      </c>
      <c r="N295" t="s">
        <v>1049</v>
      </c>
    </row>
    <row r="296" spans="1:14" hidden="1">
      <c r="A296" t="s">
        <v>296</v>
      </c>
      <c r="B296" t="s">
        <v>319</v>
      </c>
      <c r="C296">
        <v>-262652864.0731658</v>
      </c>
      <c r="D296">
        <v>943230.74685730482</v>
      </c>
      <c r="E296">
        <v>1327322.115801068</v>
      </c>
      <c r="F296">
        <v>1691197.478860795</v>
      </c>
      <c r="G296">
        <v>965987428.30493474</v>
      </c>
      <c r="H296">
        <v>200813.464522433</v>
      </c>
      <c r="I296">
        <v>13292176.823228549</v>
      </c>
      <c r="J296" s="1">
        <v>3.9658873695044873E-2</v>
      </c>
      <c r="K296" t="s">
        <v>343</v>
      </c>
      <c r="L296" t="s">
        <v>1202</v>
      </c>
      <c r="M296" s="83" t="s">
        <v>1256</v>
      </c>
      <c r="N296" t="s">
        <v>1051</v>
      </c>
    </row>
    <row r="297" spans="1:14" hidden="1">
      <c r="A297" t="s">
        <v>296</v>
      </c>
      <c r="B297" t="s">
        <v>305</v>
      </c>
      <c r="C297">
        <v>-999138722</v>
      </c>
      <c r="D297">
        <v>1359821</v>
      </c>
      <c r="E297">
        <v>2049767</v>
      </c>
      <c r="F297">
        <v>2651691</v>
      </c>
      <c r="G297">
        <v>4215565193</v>
      </c>
      <c r="H297">
        <v>2816288.6224041018</v>
      </c>
      <c r="I297">
        <v>34628432.018152907</v>
      </c>
      <c r="J297" s="1">
        <v>7.0195559476547598E-2</v>
      </c>
      <c r="K297" t="s">
        <v>343</v>
      </c>
      <c r="L297" t="s">
        <v>1203</v>
      </c>
      <c r="M297" s="83" t="s">
        <v>1263</v>
      </c>
      <c r="N297" t="s">
        <v>1053</v>
      </c>
    </row>
    <row r="298" spans="1:14" hidden="1">
      <c r="A298" t="s">
        <v>296</v>
      </c>
      <c r="B298" t="s">
        <v>315</v>
      </c>
      <c r="C298">
        <v>-999138722</v>
      </c>
      <c r="D298">
        <v>971500.57142857148</v>
      </c>
      <c r="E298">
        <v>1353240.4285714291</v>
      </c>
      <c r="F298">
        <v>1699762.4285714291</v>
      </c>
      <c r="G298">
        <v>552449791</v>
      </c>
      <c r="H298">
        <v>195159.896805064</v>
      </c>
      <c r="I298">
        <v>13237111.336228991</v>
      </c>
      <c r="J298" s="1">
        <v>4.3702396706366692E-2</v>
      </c>
      <c r="K298" t="s">
        <v>343</v>
      </c>
      <c r="L298" t="s">
        <v>1204</v>
      </c>
      <c r="M298" s="83" t="s">
        <v>1261</v>
      </c>
      <c r="N298" t="s">
        <v>1055</v>
      </c>
    </row>
    <row r="299" spans="1:14" hidden="1">
      <c r="A299" t="s">
        <v>296</v>
      </c>
      <c r="B299" t="s">
        <v>300</v>
      </c>
      <c r="C299">
        <v>0</v>
      </c>
      <c r="D299">
        <v>154784.09938439439</v>
      </c>
      <c r="E299">
        <v>430095.55189000902</v>
      </c>
      <c r="F299">
        <v>624755.06868718821</v>
      </c>
      <c r="G299">
        <v>2433585117.3885012</v>
      </c>
      <c r="H299">
        <v>3952209.7610702012</v>
      </c>
      <c r="I299">
        <v>39304940.097005993</v>
      </c>
      <c r="J299" s="1">
        <v>8.0611674753712698E-2</v>
      </c>
      <c r="K299" t="s">
        <v>343</v>
      </c>
      <c r="L299" t="s">
        <v>1205</v>
      </c>
      <c r="M299" s="83" t="s">
        <v>1260</v>
      </c>
      <c r="N299" t="s">
        <v>1057</v>
      </c>
    </row>
    <row r="300" spans="1:14" hidden="1">
      <c r="A300" t="s">
        <v>296</v>
      </c>
      <c r="B300" t="s">
        <v>312</v>
      </c>
      <c r="C300">
        <v>-4210998427</v>
      </c>
      <c r="D300">
        <v>6780141</v>
      </c>
      <c r="E300">
        <v>9462325</v>
      </c>
      <c r="F300">
        <v>11892767</v>
      </c>
      <c r="G300">
        <v>3867148537</v>
      </c>
      <c r="H300">
        <v>1354812.572278975</v>
      </c>
      <c r="I300">
        <v>92253223.38814944</v>
      </c>
      <c r="J300" s="1">
        <v>4.6266725481546839E-2</v>
      </c>
      <c r="K300" t="s">
        <v>343</v>
      </c>
      <c r="L300" t="s">
        <v>1206</v>
      </c>
      <c r="M300" s="83" t="s">
        <v>1262</v>
      </c>
      <c r="N300" t="s">
        <v>1059</v>
      </c>
    </row>
    <row r="301" spans="1:14" hidden="1">
      <c r="A301" t="s">
        <v>296</v>
      </c>
      <c r="B301" t="s">
        <v>324</v>
      </c>
      <c r="C301">
        <v>-2.267786838055188</v>
      </c>
      <c r="D301">
        <v>-0.71507976593883671</v>
      </c>
      <c r="E301">
        <v>-0.14953733185050611</v>
      </c>
      <c r="F301">
        <v>0.63745464178989342</v>
      </c>
      <c r="G301">
        <v>2.2677868380528179</v>
      </c>
      <c r="H301">
        <v>-1.264783815393113E-2</v>
      </c>
      <c r="I301">
        <v>0.94879817465654559</v>
      </c>
      <c r="J301" s="1">
        <v>2.2811351271871779E-2</v>
      </c>
      <c r="K301" t="s">
        <v>343</v>
      </c>
      <c r="L301" t="s">
        <v>1207</v>
      </c>
      <c r="M301" s="83" t="s">
        <v>1259</v>
      </c>
      <c r="N301" t="s">
        <v>1061</v>
      </c>
    </row>
    <row r="302" spans="1:14">
      <c r="A302" t="s">
        <v>296</v>
      </c>
      <c r="B302" t="s">
        <v>307</v>
      </c>
      <c r="C302">
        <v>-4214620729</v>
      </c>
      <c r="D302">
        <v>865942.25</v>
      </c>
      <c r="E302">
        <v>1235233</v>
      </c>
      <c r="F302">
        <v>1766959.25</v>
      </c>
      <c r="G302">
        <v>3860448332</v>
      </c>
      <c r="H302">
        <v>231081.25517523059</v>
      </c>
      <c r="I302">
        <v>38408930.608984374</v>
      </c>
      <c r="J302" s="1">
        <v>5.1040475424840533E-2</v>
      </c>
      <c r="L302" t="s">
        <v>1498</v>
      </c>
    </row>
    <row r="303" spans="1:14">
      <c r="A303" t="s">
        <v>65</v>
      </c>
      <c r="B303" t="s">
        <v>66</v>
      </c>
      <c r="C303">
        <v>0</v>
      </c>
      <c r="D303">
        <v>0</v>
      </c>
      <c r="E303">
        <v>0</v>
      </c>
      <c r="F303">
        <v>0</v>
      </c>
      <c r="G303">
        <v>21648</v>
      </c>
      <c r="H303">
        <v>0.1066147908568382</v>
      </c>
      <c r="I303">
        <v>37.119876861572273</v>
      </c>
      <c r="J303" s="1">
        <v>8.5669754447875279E-2</v>
      </c>
      <c r="L303" t="s">
        <v>1225</v>
      </c>
      <c r="M303" s="83" t="s">
        <v>1350</v>
      </c>
      <c r="N303" t="s">
        <v>1224</v>
      </c>
    </row>
    <row r="304" spans="1:14">
      <c r="A304" t="s">
        <v>328</v>
      </c>
      <c r="B304" t="s">
        <v>331</v>
      </c>
      <c r="C304">
        <v>-1632527319040</v>
      </c>
      <c r="D304">
        <v>-28062944</v>
      </c>
      <c r="E304">
        <v>-22257</v>
      </c>
      <c r="F304">
        <v>28327942</v>
      </c>
      <c r="G304">
        <v>1469606264832</v>
      </c>
      <c r="H304">
        <v>5765968</v>
      </c>
      <c r="I304">
        <v>5274038272</v>
      </c>
      <c r="J304" s="1">
        <v>2.4067048963387742E-2</v>
      </c>
      <c r="L304" t="s">
        <v>1227</v>
      </c>
      <c r="M304" s="83" t="s">
        <v>1239</v>
      </c>
      <c r="N304" t="s">
        <v>1226</v>
      </c>
    </row>
    <row r="305" spans="1:14">
      <c r="A305" t="s">
        <v>328</v>
      </c>
      <c r="B305" t="s">
        <v>329</v>
      </c>
      <c r="C305">
        <v>0</v>
      </c>
      <c r="D305">
        <v>5758461</v>
      </c>
      <c r="E305">
        <v>7095676.5</v>
      </c>
      <c r="F305">
        <v>8608850</v>
      </c>
      <c r="G305">
        <v>988386112</v>
      </c>
      <c r="H305">
        <v>8279455</v>
      </c>
      <c r="I305">
        <v>6465905</v>
      </c>
      <c r="J305" s="1">
        <v>0.14483605352154111</v>
      </c>
      <c r="L305" t="s">
        <v>1228</v>
      </c>
      <c r="M305" s="83" t="s">
        <v>1237</v>
      </c>
      <c r="N305" t="s">
        <v>1229</v>
      </c>
    </row>
    <row r="306" spans="1:14">
      <c r="A306" t="s">
        <v>65</v>
      </c>
      <c r="B306" t="s">
        <v>67</v>
      </c>
      <c r="C306">
        <v>0</v>
      </c>
      <c r="D306">
        <v>0.76129215955734253</v>
      </c>
      <c r="E306">
        <v>0.96246510744094849</v>
      </c>
      <c r="F306">
        <v>1.1778479814529419</v>
      </c>
      <c r="G306">
        <v>4947085824</v>
      </c>
      <c r="H306">
        <v>102696.5078125</v>
      </c>
      <c r="I306">
        <v>15819168</v>
      </c>
      <c r="J306" s="1">
        <v>3.044699308925158E-2</v>
      </c>
      <c r="L306" t="s">
        <v>1230</v>
      </c>
      <c r="M306" s="83" t="s">
        <v>1350</v>
      </c>
      <c r="N306" t="s">
        <v>1231</v>
      </c>
    </row>
    <row r="307" spans="1:14">
      <c r="A307" t="s">
        <v>183</v>
      </c>
      <c r="B307" t="s">
        <v>187</v>
      </c>
      <c r="C307">
        <v>0</v>
      </c>
      <c r="D307">
        <v>1.6682653522503979E-11</v>
      </c>
      <c r="E307">
        <v>2.363165045593529E-11</v>
      </c>
      <c r="F307">
        <v>5.9101362692715043E-11</v>
      </c>
      <c r="G307">
        <v>1</v>
      </c>
      <c r="H307">
        <v>2.1837398890056651E-5</v>
      </c>
      <c r="I307">
        <v>4.6729822643101224E-3</v>
      </c>
      <c r="J307" s="1">
        <v>8.3953830319070777E-2</v>
      </c>
      <c r="L307" t="s">
        <v>1232</v>
      </c>
      <c r="M307" s="83" t="s">
        <v>1351</v>
      </c>
      <c r="N307" t="s">
        <v>1233</v>
      </c>
    </row>
    <row r="308" spans="1:14">
      <c r="A308" t="s">
        <v>112</v>
      </c>
      <c r="B308" t="s">
        <v>113</v>
      </c>
      <c r="C308">
        <v>0</v>
      </c>
      <c r="D308">
        <v>0</v>
      </c>
      <c r="E308">
        <v>0</v>
      </c>
      <c r="F308">
        <v>0</v>
      </c>
      <c r="G308">
        <v>4</v>
      </c>
      <c r="H308">
        <v>7.8613948734970545E-4</v>
      </c>
      <c r="I308">
        <v>4.0227470203462859E-2</v>
      </c>
      <c r="J308" s="1">
        <v>2.8048816350536691E-2</v>
      </c>
      <c r="L308" t="s">
        <v>1234</v>
      </c>
      <c r="M308" t="s">
        <v>1453</v>
      </c>
      <c r="N308" t="s">
        <v>1235</v>
      </c>
    </row>
    <row r="310" spans="1:14">
      <c r="B310" s="79"/>
    </row>
  </sheetData>
  <phoneticPr fontId="1" type="noConversion"/>
  <conditionalFormatting sqref="B310">
    <cfRule type="uniqueValues" dxfId="8" priority="1"/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9196-449D-48C6-BD29-3A66C4EAC2E3}">
  <dimension ref="A1:E99"/>
  <sheetViews>
    <sheetView zoomScale="98" workbookViewId="0">
      <selection activeCell="B12" sqref="B12"/>
    </sheetView>
  </sheetViews>
  <sheetFormatPr defaultRowHeight="16.5"/>
  <cols>
    <col min="1" max="1" width="6.375" customWidth="1"/>
    <col min="2" max="2" width="24.875" bestFit="1" customWidth="1"/>
    <col min="3" max="3" width="43" bestFit="1" customWidth="1"/>
    <col min="4" max="4" width="32.875" bestFit="1" customWidth="1"/>
    <col min="5" max="5" width="23.875" bestFit="1" customWidth="1"/>
    <col min="6" max="6" width="22.25" bestFit="1" customWidth="1"/>
    <col min="7" max="7" width="19.875" bestFit="1" customWidth="1"/>
  </cols>
  <sheetData>
    <row r="1" spans="1:5">
      <c r="A1" s="81" t="s">
        <v>842</v>
      </c>
      <c r="B1" s="81" t="s">
        <v>843</v>
      </c>
      <c r="C1" s="81" t="s">
        <v>1493</v>
      </c>
      <c r="E1" t="s">
        <v>1539</v>
      </c>
    </row>
    <row r="2" spans="1:5">
      <c r="A2" s="81">
        <v>1</v>
      </c>
      <c r="B2" s="84" t="s">
        <v>535</v>
      </c>
      <c r="C2" s="81" t="str">
        <f>_xlfn.XLOOKUP(B2,표1[feature_name],표1[설명])</f>
        <v>현재 보류 중인 섹터 수</v>
      </c>
      <c r="D2" t="s">
        <v>1514</v>
      </c>
      <c r="E2" t="s">
        <v>13</v>
      </c>
    </row>
    <row r="3" spans="1:5">
      <c r="A3" s="81">
        <v>1</v>
      </c>
      <c r="B3" s="84" t="s">
        <v>28</v>
      </c>
      <c r="C3" s="81" t="str">
        <f>_xlfn.XLOOKUP(B3,표1[feature_name],표1[설명])</f>
        <v>보고된 교정 불가능한 오류 횟수</v>
      </c>
      <c r="D3" t="s">
        <v>1515</v>
      </c>
      <c r="E3" t="s">
        <v>126</v>
      </c>
    </row>
    <row r="4" spans="1:5">
      <c r="A4" s="81">
        <v>1</v>
      </c>
      <c r="B4" s="84" t="s">
        <v>198</v>
      </c>
      <c r="C4" s="81" t="str">
        <f>_xlfn.XLOOKUP(B4,표1[feature_name],표1[설명])</f>
        <v>현재 보류 중인 섹터 존재 여부</v>
      </c>
      <c r="D4" t="s">
        <v>1516</v>
      </c>
      <c r="E4" t="s">
        <v>267</v>
      </c>
    </row>
    <row r="5" spans="1:5">
      <c r="A5" s="81">
        <v>1</v>
      </c>
      <c r="B5" s="84" t="s">
        <v>30</v>
      </c>
      <c r="C5" s="81" t="str">
        <f>_xlfn.XLOOKUP(B5,표1[feature_name],표1[설명])</f>
        <v>수정 불가능한 섹터 횟수</v>
      </c>
      <c r="D5" t="s">
        <v>1517</v>
      </c>
      <c r="E5" t="s">
        <v>114</v>
      </c>
    </row>
    <row r="6" spans="1:5">
      <c r="A6" s="81">
        <v>1</v>
      </c>
      <c r="B6" s="84" t="s">
        <v>199</v>
      </c>
      <c r="C6" s="81" t="str">
        <f>_xlfn.XLOOKUP(B6,표1[feature_name],표1[설명])</f>
        <v>수정 불가능한 섹터 존재 여부</v>
      </c>
      <c r="D6" t="s">
        <v>1522</v>
      </c>
      <c r="E6" t="s">
        <v>262</v>
      </c>
    </row>
    <row r="7" spans="1:5">
      <c r="A7" s="81">
        <v>1</v>
      </c>
      <c r="B7" s="84" t="s">
        <v>197</v>
      </c>
      <c r="C7" s="81" t="str">
        <f>_xlfn.XLOOKUP(B7,표1[feature_name],표1[설명])</f>
        <v>복구 불가 오류 손상 여부</v>
      </c>
      <c r="E7" t="s">
        <v>165</v>
      </c>
    </row>
    <row r="8" spans="1:5">
      <c r="A8" s="81">
        <v>1</v>
      </c>
      <c r="B8" s="84" t="s">
        <v>63</v>
      </c>
      <c r="C8" s="81" t="str">
        <f>_xlfn.XLOOKUP(B8,표1[feature_name],표1[설명])</f>
        <v>복구 불가 오류 횟수 누적 발생 플래그</v>
      </c>
      <c r="E8" t="s">
        <v>266</v>
      </c>
    </row>
    <row r="9" spans="1:5">
      <c r="A9" s="81">
        <v>1</v>
      </c>
      <c r="B9" s="84" t="s">
        <v>336</v>
      </c>
      <c r="C9" s="81" t="str">
        <f>_xlfn.XLOOKUP(B9,표1[feature_name],표1[설명])</f>
        <v>복구 불가 오류 최초 발생 후 경과일</v>
      </c>
      <c r="E9" t="s">
        <v>127</v>
      </c>
    </row>
    <row r="10" spans="1:5">
      <c r="A10" s="81">
        <v>1</v>
      </c>
      <c r="B10" s="84" t="s">
        <v>33</v>
      </c>
      <c r="C10" s="81" t="str">
        <f>_xlfn.XLOOKUP(B10,표1[feature_name],표1[설명])</f>
        <v>14일간 시간 대비 에러 밀도</v>
      </c>
      <c r="E10" t="s">
        <v>134</v>
      </c>
    </row>
    <row r="11" spans="1:5">
      <c r="A11" s="81">
        <v>1</v>
      </c>
      <c r="B11" s="84" t="s">
        <v>35</v>
      </c>
      <c r="C11" s="81" t="str">
        <f>_xlfn.XLOOKUP(B11,표1[feature_name],표1[설명])</f>
        <v>수정 불가능한 섹터 횟수 28일 최댓값</v>
      </c>
      <c r="E11" t="s">
        <v>67</v>
      </c>
    </row>
    <row r="12" spans="1:5">
      <c r="A12" s="81">
        <v>1</v>
      </c>
      <c r="B12" s="84" t="s">
        <v>20</v>
      </c>
      <c r="C12" s="81" t="str">
        <f>_xlfn.XLOOKUP(B12,표1[feature_name],표1[설명])</f>
        <v>불량 섹터 대비 불안정 섹터 비율</v>
      </c>
      <c r="E12" t="s">
        <v>214</v>
      </c>
    </row>
    <row r="13" spans="1:5">
      <c r="A13" s="81">
        <v>2</v>
      </c>
      <c r="B13" s="84" t="s">
        <v>297</v>
      </c>
      <c r="C13" s="81" t="str">
        <f>_xlfn.XLOOKUP(B13,표1[feature_name],표1[설명])</f>
        <v>총 탐색 작업 28일 차분절대합</v>
      </c>
      <c r="D13" t="s">
        <v>1518</v>
      </c>
      <c r="E13" t="s">
        <v>177</v>
      </c>
    </row>
    <row r="14" spans="1:5">
      <c r="A14" s="81">
        <v>2</v>
      </c>
      <c r="B14" s="85" t="s">
        <v>36</v>
      </c>
      <c r="C14" s="81" t="str">
        <f>_xlfn.XLOOKUP(B14,표1[feature_name],표1[설명])</f>
        <v>복구 불가 오류 28일 총합</v>
      </c>
      <c r="D14" t="s">
        <v>1519</v>
      </c>
      <c r="E14" t="s">
        <v>159</v>
      </c>
    </row>
    <row r="15" spans="1:5">
      <c r="A15" s="81">
        <v>2</v>
      </c>
      <c r="B15" s="85" t="s">
        <v>37</v>
      </c>
      <c r="C15" s="81" t="str">
        <f>_xlfn.XLOOKUP(B15,표1[feature_name],표1[설명])</f>
        <v>복구 불가 오류 28일 최댓값</v>
      </c>
      <c r="D15" t="s">
        <v>1521</v>
      </c>
      <c r="E15" t="s">
        <v>307</v>
      </c>
    </row>
    <row r="16" spans="1:5">
      <c r="A16" s="81">
        <v>2</v>
      </c>
      <c r="B16" s="85" t="s">
        <v>184</v>
      </c>
      <c r="C16" s="81" t="str">
        <f>_xlfn.XLOOKUP(B16,표1[feature_name],표1[설명])</f>
        <v>SATA 다운시프트 에러 횟수</v>
      </c>
      <c r="E16" t="s">
        <v>46</v>
      </c>
    </row>
    <row r="17" spans="1:5">
      <c r="A17" s="81">
        <v>2</v>
      </c>
      <c r="B17" s="84" t="s">
        <v>302</v>
      </c>
      <c r="C17" s="81" t="str">
        <f>_xlfn.XLOOKUP(B17,표1[feature_name],표1[설명])</f>
        <v>총 탐색 작업 28일 차분 최댓값</v>
      </c>
      <c r="E17" t="s">
        <v>156</v>
      </c>
    </row>
    <row r="18" spans="1:5">
      <c r="A18" s="81">
        <v>2</v>
      </c>
      <c r="B18" s="85" t="s">
        <v>44</v>
      </c>
      <c r="C18" s="81" t="str">
        <f>_xlfn.XLOOKUP(B18,표1[feature_name],표1[설명])</f>
        <v>복구 불가 오류 14일 총합</v>
      </c>
      <c r="E18" t="s">
        <v>253</v>
      </c>
    </row>
    <row r="19" spans="1:5">
      <c r="A19" s="81">
        <v>2</v>
      </c>
      <c r="B19" s="85" t="s">
        <v>11</v>
      </c>
      <c r="C19" s="81" t="str">
        <f>_xlfn.XLOOKUP(B19,표1[feature_name],표1[설명])</f>
        <v>복구 불가 오류 횟수 중기 누적 증가량</v>
      </c>
      <c r="E19" t="s">
        <v>337</v>
      </c>
    </row>
    <row r="20" spans="1:5">
      <c r="A20" s="81">
        <v>2</v>
      </c>
      <c r="B20" s="85" t="s">
        <v>45</v>
      </c>
      <c r="C20" s="81" t="str">
        <f>_xlfn.XLOOKUP(B20,표1[feature_name],표1[설명])</f>
        <v>복구 불가 오류 14일 최댓값</v>
      </c>
      <c r="E20" t="s">
        <v>135</v>
      </c>
    </row>
    <row r="21" spans="1:5">
      <c r="A21" s="81">
        <v>3</v>
      </c>
      <c r="B21" s="85" t="s">
        <v>46</v>
      </c>
      <c r="C21" s="81" t="str">
        <f>_xlfn.XLOOKUP(B21,표1[feature_name],표1[설명])</f>
        <v>핵심 5대 변수 종합 위험 점수</v>
      </c>
      <c r="D21" t="s">
        <v>1532</v>
      </c>
      <c r="E21" t="s">
        <v>244</v>
      </c>
    </row>
    <row r="22" spans="1:5">
      <c r="A22" s="81">
        <v>3</v>
      </c>
      <c r="B22" s="85" t="s">
        <v>200</v>
      </c>
      <c r="C22" s="81" t="str">
        <f>_xlfn.XLOOKUP(B22,표1[feature_name],표1[설명])</f>
        <v>재할당된 섹터 수 손상 여부</v>
      </c>
      <c r="D22" t="s">
        <v>1529</v>
      </c>
      <c r="E22" t="s">
        <v>249</v>
      </c>
    </row>
    <row r="23" spans="1:5">
      <c r="A23" s="81">
        <v>3</v>
      </c>
      <c r="B23" s="85" t="s">
        <v>21</v>
      </c>
      <c r="C23" s="81" t="str">
        <f>_xlfn.XLOOKUP(B23,표1[feature_name],표1[설명])</f>
        <v>14일 최고점 대비 당일 재할당된 섹터 수 비율</v>
      </c>
      <c r="D23" t="s">
        <v>1530</v>
      </c>
      <c r="E23" t="s">
        <v>207</v>
      </c>
    </row>
    <row r="24" spans="1:5">
      <c r="A24" s="81">
        <v>3</v>
      </c>
      <c r="B24" s="85" t="s">
        <v>64</v>
      </c>
      <c r="C24" s="81" t="str">
        <f>_xlfn.XLOOKUP(B24,표1[feature_name],표1[설명])</f>
        <v>재할당된 섹터 누적 발생 플래그</v>
      </c>
      <c r="D24" t="s">
        <v>1531</v>
      </c>
      <c r="E24" t="s">
        <v>209</v>
      </c>
    </row>
    <row r="25" spans="1:5">
      <c r="A25" s="81">
        <v>3</v>
      </c>
      <c r="B25" s="85" t="s">
        <v>337</v>
      </c>
      <c r="C25" s="81" t="str">
        <f>_xlfn.XLOOKUP(B25,표1[feature_name],표1[설명])</f>
        <v>재할당된 섹터 최초 발생 후 경과일</v>
      </c>
      <c r="E25" t="s">
        <v>184</v>
      </c>
    </row>
    <row r="26" spans="1:5">
      <c r="A26" s="81">
        <v>3</v>
      </c>
      <c r="B26" s="85" t="s">
        <v>23</v>
      </c>
      <c r="C26" s="81" t="str">
        <f>_xlfn.XLOOKUP(B26,표1[feature_name],표1[설명])</f>
        <v>재할당된 섹터 수 28일 최댓값</v>
      </c>
      <c r="E26" t="s">
        <v>36</v>
      </c>
    </row>
    <row r="27" spans="1:5">
      <c r="A27" s="81">
        <v>3</v>
      </c>
      <c r="B27" s="85" t="s">
        <v>12</v>
      </c>
      <c r="C27" s="81">
        <f>_xlfn.XLOOKUP(B27,표1[feature_name],표1[설명])</f>
        <v>0</v>
      </c>
      <c r="E27" t="s">
        <v>137</v>
      </c>
    </row>
    <row r="28" spans="1:5">
      <c r="A28" s="81">
        <v>3</v>
      </c>
      <c r="B28" s="85" t="s">
        <v>192</v>
      </c>
      <c r="C28" s="81" t="str">
        <f>_xlfn.XLOOKUP(B28,표1[feature_name],표1[설명])</f>
        <v>오류 가속화 비율</v>
      </c>
      <c r="E28" t="s">
        <v>239</v>
      </c>
    </row>
    <row r="29" spans="1:5">
      <c r="A29" s="81">
        <v>4</v>
      </c>
      <c r="B29" s="85" t="s">
        <v>107</v>
      </c>
      <c r="C29" s="81" t="str">
        <f>_xlfn.XLOOKUP(B29,표1[feature_name],표1[설명])</f>
        <v>누적 사용 시간</v>
      </c>
      <c r="D29" t="s">
        <v>1533</v>
      </c>
      <c r="E29" t="s">
        <v>330</v>
      </c>
    </row>
    <row r="30" spans="1:5">
      <c r="A30" s="81">
        <v>4</v>
      </c>
      <c r="B30" s="86" t="s">
        <v>187</v>
      </c>
      <c r="C30" s="81" t="str">
        <f>_xlfn.XLOOKUP(B30,표1[feature_name],표1[설명])</f>
        <v>쓰기량 대비 헤드 정렬 불량률</v>
      </c>
      <c r="E30" t="s">
        <v>248</v>
      </c>
    </row>
    <row r="31" spans="1:5">
      <c r="A31" s="81">
        <v>4</v>
      </c>
      <c r="B31" s="83" t="s">
        <v>226</v>
      </c>
      <c r="C31" s="81" t="str">
        <f>_xlfn.XLOOKUP(B31,표1[feature_name],표1[설명])</f>
        <v>누적 데이터 쓰기량</v>
      </c>
      <c r="E31" t="s">
        <v>222</v>
      </c>
    </row>
    <row r="32" spans="1:5">
      <c r="A32" s="81">
        <v>4</v>
      </c>
      <c r="B32" s="83" t="s">
        <v>330</v>
      </c>
      <c r="C32" s="81" t="str">
        <f>_xlfn.XLOOKUP(B32,표1[feature_name],표1[설명])</f>
        <v>노후도 기반 일일 작업 부하 가중치</v>
      </c>
      <c r="E32" t="s">
        <v>302</v>
      </c>
    </row>
    <row r="33" spans="1:5">
      <c r="A33" s="81">
        <v>4</v>
      </c>
      <c r="B33" s="83" t="s">
        <v>329</v>
      </c>
      <c r="C33" s="81" t="str">
        <f>_xlfn.XLOOKUP(B33,표1[feature_name],표1[설명])</f>
        <v>누적 사용 시간 대비 총 작업량 비율</v>
      </c>
      <c r="E33" t="s">
        <v>171</v>
      </c>
    </row>
    <row r="34" spans="1:5">
      <c r="A34" s="81">
        <v>4</v>
      </c>
      <c r="B34" s="83" t="s">
        <v>237</v>
      </c>
      <c r="C34" s="81" t="str">
        <f>_xlfn.XLOOKUP(B34,표1[feature_name],표1[설명])</f>
        <v>누적 데이터 읽기량</v>
      </c>
      <c r="E34" t="s">
        <v>161</v>
      </c>
    </row>
    <row r="35" spans="1:5">
      <c r="A35" s="81">
        <v>4</v>
      </c>
      <c r="B35" s="87" t="s">
        <v>49</v>
      </c>
      <c r="C35" s="81" t="str">
        <f>_xlfn.XLOOKUP(B35,표1[feature_name],표1[설명])</f>
        <v>복구 불가 오류 1일 변화량</v>
      </c>
      <c r="E35" t="s">
        <v>306</v>
      </c>
    </row>
    <row r="36" spans="1:5">
      <c r="A36" s="81">
        <v>4</v>
      </c>
      <c r="B36" s="87" t="s">
        <v>250</v>
      </c>
      <c r="C36" s="81" t="str">
        <f>_xlfn.XLOOKUP(B36,표1[feature_name],표1[설명])</f>
        <v>누적 읽기량 14일 차분 평균</v>
      </c>
      <c r="E36" t="s">
        <v>336</v>
      </c>
    </row>
    <row r="37" spans="1:5">
      <c r="A37" s="81">
        <v>4</v>
      </c>
      <c r="B37" s="88" t="s">
        <v>186</v>
      </c>
      <c r="C37" s="81" t="str">
        <f>_xlfn.XLOOKUP(B37,표1[feature_name],표1[설명])</f>
        <v>SATA 속도 저하 28일 최댓값</v>
      </c>
      <c r="E37" t="s">
        <v>314</v>
      </c>
    </row>
    <row r="38" spans="1:5">
      <c r="A38" s="81">
        <v>4</v>
      </c>
      <c r="B38" s="88" t="s">
        <v>47</v>
      </c>
      <c r="C38" s="81" t="str">
        <f>_xlfn.XLOOKUP(B38,표1[feature_name],표1[설명])</f>
        <v>수정 불가능한 섹터 횟수 1일 변화량</v>
      </c>
      <c r="E38" t="s">
        <v>71</v>
      </c>
    </row>
    <row r="39" spans="1:5">
      <c r="A39" s="81">
        <v>4</v>
      </c>
      <c r="B39" s="88" t="s">
        <v>66</v>
      </c>
      <c r="C39" s="81" t="str">
        <f>_xlfn.XLOOKUP(B39,표1[feature_name],표1[설명])</f>
        <v>복구 불가 섹터 중기 폭증 비율</v>
      </c>
      <c r="E39" t="s">
        <v>155</v>
      </c>
    </row>
    <row r="40" spans="1:5">
      <c r="A40" s="81">
        <v>5</v>
      </c>
      <c r="B40" s="88" t="s">
        <v>189</v>
      </c>
      <c r="C40" s="81" t="str">
        <f>_xlfn.XLOOKUP(B40,표1[feature_name],표1[설명])</f>
        <v>SATA 속도 저하 14일 최댓값</v>
      </c>
      <c r="D40" t="s">
        <v>1534</v>
      </c>
      <c r="E40" t="s">
        <v>35</v>
      </c>
    </row>
    <row r="41" spans="1:5">
      <c r="A41" s="81">
        <v>5</v>
      </c>
      <c r="B41" s="83" t="s">
        <v>222</v>
      </c>
      <c r="C41" s="81" t="str">
        <f>_xlfn.XLOOKUP(B41,표1[feature_name],표1[설명])</f>
        <v>누적 쓰기량 7일 차분 최댓값</v>
      </c>
      <c r="E41" t="s">
        <v>329</v>
      </c>
    </row>
    <row r="42" spans="1:5">
      <c r="A42" s="81">
        <v>5</v>
      </c>
      <c r="B42" s="83" t="s">
        <v>214</v>
      </c>
      <c r="C42" s="81" t="str">
        <f>_xlfn.XLOOKUP(B42,표1[feature_name],표1[설명])</f>
        <v>누적 쓰기량 14일 차분 평균</v>
      </c>
      <c r="E42" t="s">
        <v>250</v>
      </c>
    </row>
    <row r="43" spans="1:5">
      <c r="A43" s="81">
        <v>5</v>
      </c>
      <c r="B43" s="83" t="s">
        <v>209</v>
      </c>
      <c r="C43" s="81" t="str">
        <f>_xlfn.XLOOKUP(B43,표1[feature_name],표1[설명])</f>
        <v>누적 쓰기량 1일 변화량</v>
      </c>
      <c r="E43" t="s">
        <v>226</v>
      </c>
    </row>
    <row r="44" spans="1:5">
      <c r="A44" s="81">
        <v>5</v>
      </c>
      <c r="B44" s="83" t="s">
        <v>207</v>
      </c>
      <c r="C44" s="81" t="str">
        <f>_xlfn.XLOOKUP(B44,표1[feature_name],표1[설명])</f>
        <v>누적 쓰기량 28일 차분절대합</v>
      </c>
      <c r="E44" t="s">
        <v>33</v>
      </c>
    </row>
    <row r="45" spans="1:5">
      <c r="A45" s="81">
        <v>5</v>
      </c>
      <c r="B45" s="83" t="s">
        <v>314</v>
      </c>
      <c r="C45" s="81" t="str">
        <f>_xlfn.XLOOKUP(B45,표1[feature_name],표1[설명])</f>
        <v>총 탐색 작업 14일 차분 평균</v>
      </c>
      <c r="E45" t="s">
        <v>237</v>
      </c>
    </row>
    <row r="46" spans="1:5">
      <c r="A46" s="81">
        <v>5</v>
      </c>
      <c r="B46" s="83" t="s">
        <v>239</v>
      </c>
      <c r="C46" s="81" t="str">
        <f>_xlfn.XLOOKUP(B46,표1[feature_name],표1[설명])</f>
        <v>누적 읽기량 28일 차분절대합</v>
      </c>
      <c r="E46" t="s">
        <v>107</v>
      </c>
    </row>
    <row r="47" spans="1:5">
      <c r="A47" s="81">
        <v>5</v>
      </c>
      <c r="B47" s="83" t="s">
        <v>307</v>
      </c>
      <c r="C47" s="81" t="str">
        <f>_xlfn.XLOOKUP(B47,표1[feature_name],표1[설명])</f>
        <v>총 탐색 작업 1일 변화량</v>
      </c>
      <c r="E47" t="s">
        <v>297</v>
      </c>
    </row>
    <row r="48" spans="1:5">
      <c r="A48" s="81">
        <v>5</v>
      </c>
      <c r="B48" s="83" t="s">
        <v>252</v>
      </c>
      <c r="C48" s="81" t="str">
        <f>_xlfn.XLOOKUP(B48,표1[feature_name],표1[설명])</f>
        <v>누적 읽기량 1일 변화량</v>
      </c>
      <c r="E48" t="s">
        <v>28</v>
      </c>
    </row>
    <row r="49" spans="1:5">
      <c r="A49" s="81">
        <v>5</v>
      </c>
      <c r="B49" s="83" t="s">
        <v>13</v>
      </c>
      <c r="C49" s="81" t="str">
        <f>_xlfn.XLOOKUP(B49,표1[feature_name],표1[설명])</f>
        <v>헤드 정렬 불량 쓰기 횟수</v>
      </c>
      <c r="E49" s="89" t="s">
        <v>187</v>
      </c>
    </row>
    <row r="50" spans="1:5">
      <c r="A50" s="81">
        <v>5</v>
      </c>
      <c r="B50" s="83" t="s">
        <v>81</v>
      </c>
      <c r="C50" s="81" t="str">
        <f>_xlfn.XLOOKUP(B50,표1[feature_name],표1[설명])</f>
        <v>읽기/쓰기 작업 비대칭 지수</v>
      </c>
      <c r="E50" s="82" t="s">
        <v>31</v>
      </c>
    </row>
    <row r="51" spans="1:5">
      <c r="A51" s="81">
        <v>5</v>
      </c>
      <c r="B51" s="83" t="s">
        <v>71</v>
      </c>
      <c r="C51" s="81" t="str">
        <f>_xlfn.XLOOKUP(B51,표1[feature_name],표1[설명])</f>
        <v>외부 충격 발생 이후 무사고 경과일</v>
      </c>
    </row>
    <row r="52" spans="1:5">
      <c r="A52" s="81">
        <v>5</v>
      </c>
      <c r="B52" s="83" t="s">
        <v>137</v>
      </c>
      <c r="C52" s="81" t="str">
        <f>_xlfn.XLOOKUP(B52,표1[feature_name],표1[설명])</f>
        <v>기류 온도 28일 표준편차</v>
      </c>
    </row>
    <row r="53" spans="1:5">
      <c r="A53" s="81">
        <v>5</v>
      </c>
      <c r="B53" s="83" t="s">
        <v>167</v>
      </c>
      <c r="C53" s="81" t="str">
        <f>_xlfn.XLOOKUP(B53,표1[feature_name],표1[설명])</f>
        <v>드라이브 온도 28일 편차</v>
      </c>
    </row>
    <row r="54" spans="1:5">
      <c r="A54" s="81">
        <v>5</v>
      </c>
      <c r="B54" s="83" t="s">
        <v>310</v>
      </c>
      <c r="C54" s="81" t="str">
        <f>_xlfn.XLOOKUP(B54,표1[feature_name],표1[설명])</f>
        <v>총 탐색 작업 14일 가속도</v>
      </c>
    </row>
    <row r="55" spans="1:5">
      <c r="A55" s="81">
        <v>5</v>
      </c>
      <c r="B55" s="83" t="s">
        <v>228</v>
      </c>
      <c r="C55" s="81" t="str">
        <f>_xlfn.XLOOKUP(B55,표1[feature_name],표1[설명])</f>
        <v>누적 쓰기량 14일 가속도</v>
      </c>
    </row>
    <row r="56" spans="1:5">
      <c r="A56" s="81">
        <v>5</v>
      </c>
      <c r="B56" s="83" t="s">
        <v>316</v>
      </c>
      <c r="C56" s="81" t="str">
        <f>_xlfn.XLOOKUP(B56,표1[feature_name],표1[설명])</f>
        <v>총 탐색 작업 7일 평균증가량</v>
      </c>
    </row>
    <row r="57" spans="1:5">
      <c r="A57" s="81">
        <v>5</v>
      </c>
      <c r="B57" s="83" t="s">
        <v>231</v>
      </c>
      <c r="C57" s="81" t="str">
        <f>_xlfn.XLOOKUP(B57,표1[feature_name],표1[설명])</f>
        <v>누적 쓰기량 7일 평균증가량</v>
      </c>
    </row>
    <row r="58" spans="1:5">
      <c r="A58" s="81">
        <v>5</v>
      </c>
      <c r="B58" s="83" t="s">
        <v>202</v>
      </c>
      <c r="C58" s="81" t="str">
        <f>_xlfn.XLOOKUP(B58,표1[feature_name],표1[설명])</f>
        <v>재할당된 섹터 수 1일 변화량</v>
      </c>
    </row>
    <row r="59" spans="1:5">
      <c r="A59" s="81">
        <v>5</v>
      </c>
      <c r="B59" s="83" t="s">
        <v>193</v>
      </c>
      <c r="C59" s="81" t="str">
        <f>_xlfn.XLOOKUP(B59,표1[feature_name],표1[설명])</f>
        <v>노후화 말기 불량 섹터 발생 위험도</v>
      </c>
    </row>
    <row r="60" spans="1:5">
      <c r="A60" s="81">
        <v>6</v>
      </c>
      <c r="B60" s="83" t="s">
        <v>232</v>
      </c>
      <c r="C60" s="81" t="str">
        <f>_xlfn.XLOOKUP(B60,표1[feature_name],표1[설명])</f>
        <v>누적 쓰기량 14일 평균증가량</v>
      </c>
      <c r="D60" t="s">
        <v>1534</v>
      </c>
    </row>
    <row r="61" spans="1:5">
      <c r="A61" s="81">
        <v>6</v>
      </c>
      <c r="B61" s="83" t="s">
        <v>230</v>
      </c>
      <c r="C61" s="81" t="str">
        <f>_xlfn.XLOOKUP(B61,표1[feature_name],표1[설명])</f>
        <v>누적 쓰기량 28일 평균증가량</v>
      </c>
    </row>
    <row r="62" spans="1:5">
      <c r="A62" s="81">
        <v>6</v>
      </c>
      <c r="B62" s="83" t="s">
        <v>306</v>
      </c>
      <c r="C62" s="81" t="str">
        <f>_xlfn.XLOOKUP(B62,표1[feature_name],표1[설명])</f>
        <v>총 탐색 작업 횟수</v>
      </c>
    </row>
    <row r="63" spans="1:5">
      <c r="A63" s="81">
        <v>6</v>
      </c>
      <c r="B63" s="83" t="s">
        <v>249</v>
      </c>
      <c r="C63" s="81" t="str">
        <f>_xlfn.XLOOKUP(B63,표1[feature_name],표1[설명])</f>
        <v>총 읽기 시도 28일 차분 최댓값</v>
      </c>
    </row>
    <row r="64" spans="1:5">
      <c r="A64" s="81">
        <v>6</v>
      </c>
      <c r="B64" s="83" t="s">
        <v>68</v>
      </c>
      <c r="C64" s="81" t="str">
        <f>_xlfn.XLOOKUP(B64,표1[feature_name],표1[설명])</f>
        <v>7일 평균 대비 당일 탐색 폭주 비율</v>
      </c>
    </row>
    <row r="65" spans="1:3">
      <c r="A65" s="81">
        <v>6</v>
      </c>
      <c r="B65" s="83" t="s">
        <v>321</v>
      </c>
      <c r="C65" s="81" t="str">
        <f>_xlfn.XLOOKUP(B65,표1[feature_name],표1[설명])</f>
        <v>총 탐색 작업 14일 평균증가량</v>
      </c>
    </row>
    <row r="66" spans="1:3">
      <c r="A66" s="81">
        <v>6</v>
      </c>
      <c r="B66" s="83" t="s">
        <v>270</v>
      </c>
      <c r="C66" s="81" t="str">
        <f>_xlfn.XLOOKUP(B66,표1[feature_name],표1[설명])</f>
        <v>누적 읽기량 14일 가속도</v>
      </c>
    </row>
    <row r="67" spans="1:3">
      <c r="A67" s="81">
        <v>6</v>
      </c>
      <c r="B67" s="83" t="s">
        <v>331</v>
      </c>
      <c r="C67" s="81" t="str">
        <f>_xlfn.XLOOKUP(B67,표1[feature_name],표1[설명])</f>
        <v>총 작업량 7일 가속도</v>
      </c>
    </row>
    <row r="68" spans="1:3">
      <c r="A68" s="81">
        <v>6</v>
      </c>
      <c r="B68" s="83" t="s">
        <v>322</v>
      </c>
      <c r="C68" s="81" t="str">
        <f>_xlfn.XLOOKUP(B68,표1[feature_name],표1[설명])</f>
        <v>총 탐색 작업 28일 평균증가량</v>
      </c>
    </row>
    <row r="69" spans="1:3">
      <c r="A69" s="81">
        <v>6</v>
      </c>
      <c r="B69" s="83" t="s">
        <v>69</v>
      </c>
      <c r="C69" s="81" t="str">
        <f>_xlfn.XLOOKUP(B69,표1[feature_name],표1[설명])</f>
        <v>7일 평균 대비 당일 읽기량 폭주 비율</v>
      </c>
    </row>
    <row r="70" spans="1:3">
      <c r="A70" s="81">
        <v>6</v>
      </c>
      <c r="B70" s="83" t="s">
        <v>127</v>
      </c>
      <c r="C70" s="81" t="str">
        <f>_xlfn.XLOOKUP(B70,표1[feature_name],표1[설명])</f>
        <v>기류 온도 28일 지수가중</v>
      </c>
    </row>
    <row r="71" spans="1:3">
      <c r="A71" s="81">
        <v>6</v>
      </c>
      <c r="B71" s="83" t="s">
        <v>126</v>
      </c>
      <c r="C71" s="81" t="str">
        <f>_xlfn.XLOOKUP(B71,표1[feature_name],표1[설명])</f>
        <v>기류 온도 28일 평균</v>
      </c>
    </row>
    <row r="72" spans="1:3">
      <c r="A72" s="81">
        <v>6</v>
      </c>
      <c r="B72" s="83" t="s">
        <v>263</v>
      </c>
      <c r="C72" s="81" t="str">
        <f>_xlfn.XLOOKUP(B72,표1[feature_name],표1[설명])</f>
        <v>누적 읽기량 7일 평균증가량</v>
      </c>
    </row>
    <row r="73" spans="1:3">
      <c r="A73" s="81">
        <v>6</v>
      </c>
      <c r="B73" s="83" t="s">
        <v>265</v>
      </c>
      <c r="C73" s="81" t="str">
        <f>_xlfn.XLOOKUP(B73,표1[feature_name],표1[설명])</f>
        <v>누적 읽기량 14일 평균증가량</v>
      </c>
    </row>
    <row r="74" spans="1:3">
      <c r="A74" s="81">
        <v>6</v>
      </c>
      <c r="B74" s="83" t="s">
        <v>266</v>
      </c>
      <c r="C74" s="81" t="str">
        <f>_xlfn.XLOOKUP(B74,표1[feature_name],표1[설명])</f>
        <v>누적 읽기량 28일 평균증가량</v>
      </c>
    </row>
    <row r="75" spans="1:3">
      <c r="A75" s="81">
        <v>6</v>
      </c>
      <c r="B75" s="83" t="s">
        <v>131</v>
      </c>
      <c r="C75" s="81" t="str">
        <f>_xlfn.XLOOKUP(B75,표1[feature_name],표1[설명])</f>
        <v>기류 온도 14일 지수가중</v>
      </c>
    </row>
    <row r="76" spans="1:3">
      <c r="A76" s="81">
        <v>6</v>
      </c>
      <c r="B76" s="83" t="s">
        <v>143</v>
      </c>
      <c r="C76" s="81" t="str">
        <f>_xlfn.XLOOKUP(B76,표1[feature_name],표1[설명])</f>
        <v>기류 온도 14일 표준편차</v>
      </c>
    </row>
    <row r="77" spans="1:3">
      <c r="A77" s="81">
        <v>6</v>
      </c>
      <c r="B77" s="83" t="s">
        <v>171</v>
      </c>
      <c r="C77" s="81" t="str">
        <f>_xlfn.XLOOKUP(B77,표1[feature_name],표1[설명])</f>
        <v>드라이브 온도 14일 편차</v>
      </c>
    </row>
    <row r="78" spans="1:3">
      <c r="A78" s="81">
        <v>6</v>
      </c>
      <c r="B78" s="83" t="s">
        <v>159</v>
      </c>
      <c r="C78" s="81" t="str">
        <f>_xlfn.XLOOKUP(B78,표1[feature_name],표1[설명])</f>
        <v>드라이브 온도 28일 Z스코어</v>
      </c>
    </row>
    <row r="79" spans="1:3">
      <c r="A79" s="81">
        <v>6</v>
      </c>
      <c r="B79" s="83" t="s">
        <v>155</v>
      </c>
      <c r="C79" s="81" t="str">
        <f>_xlfn.XLOOKUP(B79,표1[feature_name],표1[설명])</f>
        <v>드라이브 온도 28일 평균</v>
      </c>
    </row>
    <row r="80" spans="1:3">
      <c r="A80" s="81">
        <v>6</v>
      </c>
      <c r="B80" s="83" t="s">
        <v>156</v>
      </c>
      <c r="C80" s="81" t="str">
        <f>_xlfn.XLOOKUP(B80,표1[feature_name],표1[설명])</f>
        <v>드라이브 온도 28일 지수가중</v>
      </c>
    </row>
    <row r="81" spans="1:3">
      <c r="A81" s="81">
        <v>6</v>
      </c>
      <c r="B81" s="83" t="s">
        <v>132</v>
      </c>
      <c r="C81" s="81" t="str">
        <f>_xlfn.XLOOKUP(B81,표1[feature_name],표1[설명])</f>
        <v>기류 온도 28일 Z스코어</v>
      </c>
    </row>
    <row r="82" spans="1:3">
      <c r="A82" s="81">
        <v>6</v>
      </c>
      <c r="B82" s="83" t="s">
        <v>134</v>
      </c>
      <c r="C82" s="81" t="str">
        <f>_xlfn.XLOOKUP(B82,표1[feature_name],표1[설명])</f>
        <v>기류 온도 7일 지수가중</v>
      </c>
    </row>
    <row r="83" spans="1:3">
      <c r="A83" s="81">
        <v>6</v>
      </c>
      <c r="B83" s="83" t="s">
        <v>248</v>
      </c>
      <c r="C83" s="81" t="str">
        <f>_xlfn.XLOOKUP(B83,표1[feature_name],표1[설명])</f>
        <v>총 읽기 시도 14일 차분 최댓값</v>
      </c>
    </row>
    <row r="84" spans="1:3">
      <c r="A84" s="81">
        <v>6</v>
      </c>
      <c r="B84" s="83" t="s">
        <v>244</v>
      </c>
      <c r="C84" s="81" t="str">
        <f>_xlfn.XLOOKUP(B84,표1[feature_name],표1[설명])</f>
        <v>총 읽기 시도 28일 차분절대합</v>
      </c>
    </row>
    <row r="85" spans="1:3">
      <c r="A85" s="81">
        <v>6</v>
      </c>
      <c r="B85" s="83" t="s">
        <v>245</v>
      </c>
      <c r="C85" s="81" t="str">
        <f>_xlfn.XLOOKUP(B85,표1[feature_name],표1[설명])</f>
        <v>총 읽기 시도 14일 차분절대합</v>
      </c>
    </row>
    <row r="86" spans="1:3">
      <c r="A86" s="81">
        <v>6</v>
      </c>
      <c r="B86" s="83" t="s">
        <v>253</v>
      </c>
      <c r="C86" s="81" t="str">
        <f>_xlfn.XLOOKUP(B86,표1[feature_name],표1[설명])</f>
        <v>총 읽기 시도 7일 차분 최댓값</v>
      </c>
    </row>
    <row r="87" spans="1:3">
      <c r="A87" s="81">
        <v>6</v>
      </c>
      <c r="B87" s="83" t="s">
        <v>267</v>
      </c>
      <c r="C87" s="81" t="str">
        <f>_xlfn.XLOOKUP(B87,표1[feature_name],표1[설명])</f>
        <v>총 읽기 시도 7일 차분절대합</v>
      </c>
    </row>
    <row r="88" spans="1:3">
      <c r="A88" s="81">
        <v>6</v>
      </c>
      <c r="B88" s="83" t="s">
        <v>67</v>
      </c>
      <c r="C88" s="81" t="str">
        <f>_xlfn.XLOOKUP(B88,표1[feature_name],표1[설명])</f>
        <v>7일 평균 대비 당일 쓰기량 폭주 비율</v>
      </c>
    </row>
    <row r="89" spans="1:3">
      <c r="A89" s="81">
        <v>6</v>
      </c>
      <c r="B89" s="83" t="s">
        <v>165</v>
      </c>
      <c r="C89" s="81" t="str">
        <f>_xlfn.XLOOKUP(B89,표1[feature_name],표1[설명])</f>
        <v>드라이브 온도 28일 최댓값</v>
      </c>
    </row>
    <row r="90" spans="1:3">
      <c r="A90" s="81">
        <v>6</v>
      </c>
      <c r="B90" s="83" t="s">
        <v>135</v>
      </c>
      <c r="C90" s="81" t="str">
        <f>_xlfn.XLOOKUP(B90,표1[feature_name],표1[설명])</f>
        <v>기류 온도 28일 최댓값</v>
      </c>
    </row>
    <row r="91" spans="1:3">
      <c r="A91" s="81">
        <v>6</v>
      </c>
      <c r="B91" s="83" t="s">
        <v>128</v>
      </c>
      <c r="C91" s="81" t="str">
        <f>_xlfn.XLOOKUP(B91,표1[feature_name],표1[설명])</f>
        <v>기류 온도 14일 최댓값</v>
      </c>
    </row>
    <row r="92" spans="1:3">
      <c r="A92" s="81">
        <v>6</v>
      </c>
      <c r="B92" s="83" t="s">
        <v>130</v>
      </c>
      <c r="C92" s="81" t="str">
        <f>_xlfn.XLOOKUP(B92,표1[feature_name],표1[설명])</f>
        <v>기류 온도 14일 평균</v>
      </c>
    </row>
    <row r="93" spans="1:3">
      <c r="A93" s="81">
        <v>6</v>
      </c>
      <c r="B93" s="83" t="s">
        <v>129</v>
      </c>
      <c r="C93" s="81" t="str">
        <f>_xlfn.XLOOKUP(B93,표1[feature_name],표1[설명])</f>
        <v>기류 온도 7일 최댓값</v>
      </c>
    </row>
    <row r="94" spans="1:3">
      <c r="A94" s="81">
        <v>6</v>
      </c>
      <c r="B94" s="83" t="s">
        <v>50</v>
      </c>
      <c r="C94" s="81" t="str">
        <f>_xlfn.XLOOKUP(B94,표1[feature_name],표1[설명])</f>
        <v>불안정 섹터 회복 이벤트 플래그</v>
      </c>
    </row>
    <row r="95" spans="1:3">
      <c r="A95" s="81"/>
      <c r="B95" s="83"/>
      <c r="C95" s="81"/>
    </row>
    <row r="96" spans="1:3">
      <c r="A96" s="81"/>
      <c r="B96" s="83"/>
      <c r="C96" s="81"/>
    </row>
    <row r="97" spans="1:3">
      <c r="A97" s="81"/>
      <c r="B97" s="83"/>
      <c r="C97" s="81"/>
    </row>
    <row r="98" spans="1:3">
      <c r="A98" s="81"/>
      <c r="B98" s="83"/>
      <c r="C98" s="81"/>
    </row>
    <row r="99" spans="1:3">
      <c r="A99" s="81"/>
      <c r="B99" s="83"/>
      <c r="C99" s="81"/>
    </row>
  </sheetData>
  <phoneticPr fontId="1" type="noConversion"/>
  <conditionalFormatting sqref="B2:B94">
    <cfRule type="duplicateValues" dxfId="7" priority="2"/>
  </conditionalFormatting>
  <conditionalFormatting sqref="E2:E50 B2:B94">
    <cfRule type="duplicateValues" dxfId="6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6967-AF7C-44F1-8874-58A4B3492112}">
  <dimension ref="A1:J111"/>
  <sheetViews>
    <sheetView topLeftCell="B1" zoomScaleNormal="100" workbookViewId="0">
      <selection activeCell="F5" sqref="F5"/>
    </sheetView>
  </sheetViews>
  <sheetFormatPr defaultRowHeight="16.5"/>
  <cols>
    <col min="1" max="1" width="9.5" bestFit="1" customWidth="1"/>
    <col min="2" max="2" width="12" bestFit="1" customWidth="1"/>
    <col min="3" max="3" width="50.25" style="9" bestFit="1" customWidth="1"/>
    <col min="4" max="4" width="14.125" bestFit="1" customWidth="1"/>
    <col min="5" max="5" width="9.875" bestFit="1" customWidth="1"/>
    <col min="6" max="6" width="15.125" bestFit="1" customWidth="1"/>
    <col min="7" max="7" width="8.625" bestFit="1" customWidth="1"/>
    <col min="8" max="8" width="59" bestFit="1" customWidth="1"/>
    <col min="9" max="9" width="11.25" style="56" bestFit="1" customWidth="1"/>
    <col min="10" max="10" width="6.875" bestFit="1" customWidth="1"/>
  </cols>
  <sheetData>
    <row r="1" spans="1:10">
      <c r="A1" s="4" t="s">
        <v>345</v>
      </c>
      <c r="B1" s="4" t="s">
        <v>346</v>
      </c>
      <c r="C1" s="5" t="s">
        <v>347</v>
      </c>
      <c r="D1" s="4" t="s">
        <v>348</v>
      </c>
      <c r="E1" s="4" t="s">
        <v>349</v>
      </c>
      <c r="F1" s="4" t="s">
        <v>350</v>
      </c>
      <c r="G1" s="1" t="s">
        <v>547</v>
      </c>
      <c r="H1" s="4" t="s">
        <v>351</v>
      </c>
      <c r="I1" s="53" t="s">
        <v>352</v>
      </c>
      <c r="J1" t="s">
        <v>544</v>
      </c>
    </row>
    <row r="2" spans="1:10">
      <c r="A2" s="10" t="s">
        <v>353</v>
      </c>
      <c r="B2" s="10" t="s">
        <v>354</v>
      </c>
      <c r="C2" s="11" t="s">
        <v>355</v>
      </c>
      <c r="D2" s="15">
        <v>0.70730000000000004</v>
      </c>
      <c r="E2" s="15">
        <v>4.7999999999999996E-3</v>
      </c>
      <c r="F2" s="15">
        <v>0.31979999999999997</v>
      </c>
      <c r="G2" s="38" t="e">
        <f t="shared" ref="G2:G39" si="0">F2 - _xlfn.XLOOKUP(B2, $A:$A, $F:$F)</f>
        <v>#N/A</v>
      </c>
      <c r="H2" s="11" t="s">
        <v>356</v>
      </c>
      <c r="I2" s="54">
        <v>19</v>
      </c>
      <c r="J2" s="38"/>
    </row>
    <row r="3" spans="1:10">
      <c r="A3" s="10" t="s">
        <v>357</v>
      </c>
      <c r="B3" s="10" t="s">
        <v>354</v>
      </c>
      <c r="C3" s="11" t="s">
        <v>355</v>
      </c>
      <c r="D3" s="15">
        <v>0.75070000000000003</v>
      </c>
      <c r="E3" s="15">
        <v>6.1000000000000004E-3</v>
      </c>
      <c r="F3" s="15">
        <v>0.37230000000000002</v>
      </c>
      <c r="G3" s="38" t="e">
        <f t="shared" si="0"/>
        <v>#N/A</v>
      </c>
      <c r="H3" s="11" t="s">
        <v>358</v>
      </c>
      <c r="I3" s="54">
        <v>307</v>
      </c>
      <c r="J3" s="38"/>
    </row>
    <row r="4" spans="1:10">
      <c r="A4" s="10" t="s">
        <v>359</v>
      </c>
      <c r="B4" s="10" t="s">
        <v>357</v>
      </c>
      <c r="C4" s="11" t="s">
        <v>360</v>
      </c>
      <c r="D4" s="15">
        <v>0.75309999999999999</v>
      </c>
      <c r="E4" s="15">
        <v>6.3E-3</v>
      </c>
      <c r="F4" s="15">
        <v>0.36990000000000001</v>
      </c>
      <c r="G4" s="38">
        <f t="shared" si="0"/>
        <v>-2.4000000000000132E-3</v>
      </c>
      <c r="H4" s="11" t="s">
        <v>361</v>
      </c>
      <c r="I4" s="54">
        <v>279</v>
      </c>
      <c r="J4" s="38"/>
    </row>
    <row r="5" spans="1:10">
      <c r="A5" s="10" t="s">
        <v>362</v>
      </c>
      <c r="B5" s="10" t="s">
        <v>359</v>
      </c>
      <c r="C5" s="11" t="s">
        <v>363</v>
      </c>
      <c r="D5" s="15">
        <v>0.74370000000000003</v>
      </c>
      <c r="E5" s="15">
        <v>4.8999999999999998E-3</v>
      </c>
      <c r="F5" s="15">
        <v>0.3715</v>
      </c>
      <c r="G5" s="38">
        <f t="shared" si="0"/>
        <v>1.5999999999999903E-3</v>
      </c>
      <c r="H5" s="11" t="s">
        <v>364</v>
      </c>
      <c r="I5" s="54">
        <v>166</v>
      </c>
      <c r="J5" s="38"/>
    </row>
    <row r="6" spans="1:10">
      <c r="A6" s="10" t="s">
        <v>365</v>
      </c>
      <c r="B6" s="10" t="s">
        <v>362</v>
      </c>
      <c r="C6" s="11" t="s">
        <v>366</v>
      </c>
      <c r="D6" s="15">
        <v>0.745</v>
      </c>
      <c r="E6" s="15">
        <v>5.4999999999999997E-3</v>
      </c>
      <c r="F6" s="15">
        <v>0.36980000000000002</v>
      </c>
      <c r="G6" s="38">
        <f t="shared" si="0"/>
        <v>-1.6999999999999793E-3</v>
      </c>
      <c r="H6" s="11" t="s">
        <v>367</v>
      </c>
      <c r="I6" s="54">
        <v>165</v>
      </c>
      <c r="J6" s="38"/>
    </row>
    <row r="7" spans="1:10">
      <c r="A7" s="10" t="s">
        <v>368</v>
      </c>
      <c r="B7" s="10" t="s">
        <v>369</v>
      </c>
      <c r="C7" s="11" t="s">
        <v>370</v>
      </c>
      <c r="D7" s="15">
        <v>0.74460000000000004</v>
      </c>
      <c r="E7" s="15">
        <v>5.3E-3</v>
      </c>
      <c r="F7" s="15">
        <v>0.37109999999999999</v>
      </c>
      <c r="G7" s="38">
        <f t="shared" si="0"/>
        <v>-4.0000000000001146E-4</v>
      </c>
      <c r="H7" s="11" t="s">
        <v>371</v>
      </c>
      <c r="I7" s="54">
        <v>164</v>
      </c>
      <c r="J7" s="38"/>
    </row>
    <row r="8" spans="1:10">
      <c r="A8" s="10" t="s">
        <v>372</v>
      </c>
      <c r="B8" s="10" t="s">
        <v>369</v>
      </c>
      <c r="C8" s="11" t="s">
        <v>373</v>
      </c>
      <c r="D8" s="15">
        <v>0.74519999999999997</v>
      </c>
      <c r="E8" s="15">
        <v>6.1999999999999998E-3</v>
      </c>
      <c r="F8" s="15">
        <v>0.36899999999999999</v>
      </c>
      <c r="G8" s="38">
        <f t="shared" si="0"/>
        <v>-2.5000000000000022E-3</v>
      </c>
      <c r="H8" s="11" t="s">
        <v>374</v>
      </c>
      <c r="I8" s="54">
        <v>165</v>
      </c>
      <c r="J8" s="38"/>
    </row>
    <row r="9" spans="1:10">
      <c r="A9" s="10" t="s">
        <v>375</v>
      </c>
      <c r="B9" s="10" t="s">
        <v>362</v>
      </c>
      <c r="C9" s="11" t="s">
        <v>376</v>
      </c>
      <c r="D9" s="15">
        <v>0.7147</v>
      </c>
      <c r="E9" s="15">
        <v>7.4000000000000003E-3</v>
      </c>
      <c r="F9" s="15">
        <v>0.35199999999999998</v>
      </c>
      <c r="G9" s="38">
        <f t="shared" si="0"/>
        <v>-1.9500000000000017E-2</v>
      </c>
      <c r="H9" s="11" t="s">
        <v>377</v>
      </c>
      <c r="I9" s="54">
        <v>153</v>
      </c>
      <c r="J9" s="38"/>
    </row>
    <row r="10" spans="1:10">
      <c r="A10" s="10" t="s">
        <v>378</v>
      </c>
      <c r="B10" s="10" t="s">
        <v>368</v>
      </c>
      <c r="C10" s="11" t="s">
        <v>379</v>
      </c>
      <c r="D10" s="15">
        <v>0.74429999999999996</v>
      </c>
      <c r="E10" s="15">
        <v>7.4000000000000003E-3</v>
      </c>
      <c r="F10" s="15">
        <v>0.37080000000000002</v>
      </c>
      <c r="G10" s="38">
        <f t="shared" si="0"/>
        <v>-2.9999999999996696E-4</v>
      </c>
      <c r="H10" s="11" t="s">
        <v>380</v>
      </c>
      <c r="I10" s="54">
        <v>163</v>
      </c>
      <c r="J10" s="38"/>
    </row>
    <row r="11" spans="1:10">
      <c r="A11" s="10" t="s">
        <v>381</v>
      </c>
      <c r="B11" s="10" t="s">
        <v>378</v>
      </c>
      <c r="C11" s="11" t="s">
        <v>382</v>
      </c>
      <c r="D11" s="15">
        <v>0.73660000000000003</v>
      </c>
      <c r="E11" s="15">
        <v>7.3000000000000001E-3</v>
      </c>
      <c r="F11" s="15">
        <v>0.36420000000000002</v>
      </c>
      <c r="G11" s="38">
        <f t="shared" si="0"/>
        <v>-6.5999999999999948E-3</v>
      </c>
      <c r="H11" s="11" t="s">
        <v>383</v>
      </c>
      <c r="I11" s="54">
        <v>162</v>
      </c>
      <c r="J11" s="38"/>
    </row>
    <row r="12" spans="1:10">
      <c r="A12" s="10" t="s">
        <v>384</v>
      </c>
      <c r="B12" s="10" t="s">
        <v>369</v>
      </c>
      <c r="C12" s="11" t="s">
        <v>385</v>
      </c>
      <c r="D12" s="15">
        <v>0.73809999999999998</v>
      </c>
      <c r="E12" s="15">
        <v>6.1000000000000004E-3</v>
      </c>
      <c r="F12" s="15">
        <v>0.36449999999999999</v>
      </c>
      <c r="G12" s="38">
        <f t="shared" si="0"/>
        <v>-7.0000000000000062E-3</v>
      </c>
      <c r="H12" s="11" t="s">
        <v>386</v>
      </c>
      <c r="I12" s="54">
        <v>163</v>
      </c>
      <c r="J12" s="38"/>
    </row>
    <row r="13" spans="1:10">
      <c r="A13" s="10" t="s">
        <v>387</v>
      </c>
      <c r="B13" s="10" t="s">
        <v>362</v>
      </c>
      <c r="C13" s="11" t="s">
        <v>435</v>
      </c>
      <c r="D13" s="14">
        <v>0.73870000000000002</v>
      </c>
      <c r="E13" s="14">
        <v>4.7999999999999996E-3</v>
      </c>
      <c r="F13" s="14">
        <v>0.36409999999999998</v>
      </c>
      <c r="G13" s="38">
        <f t="shared" si="0"/>
        <v>-7.4000000000000177E-3</v>
      </c>
      <c r="H13" s="12" t="s">
        <v>438</v>
      </c>
      <c r="I13" s="55">
        <v>164</v>
      </c>
      <c r="J13" s="38"/>
    </row>
    <row r="14" spans="1:10">
      <c r="A14" s="10" t="s">
        <v>388</v>
      </c>
      <c r="B14" s="10" t="s">
        <v>362</v>
      </c>
      <c r="C14" s="11" t="s">
        <v>436</v>
      </c>
      <c r="D14" s="14">
        <v>0.73650000000000004</v>
      </c>
      <c r="E14" s="14">
        <v>4.8999999999999998E-3</v>
      </c>
      <c r="F14" s="14">
        <v>0.36420000000000002</v>
      </c>
      <c r="G14" s="38">
        <f t="shared" si="0"/>
        <v>-7.2999999999999732E-3</v>
      </c>
      <c r="H14" s="12" t="s">
        <v>437</v>
      </c>
      <c r="I14" s="55">
        <v>164</v>
      </c>
      <c r="J14" s="38"/>
    </row>
    <row r="15" spans="1:10">
      <c r="A15" s="10" t="s">
        <v>391</v>
      </c>
      <c r="B15" s="10" t="s">
        <v>362</v>
      </c>
      <c r="C15" s="12" t="s">
        <v>390</v>
      </c>
      <c r="D15" s="14">
        <v>0.74209999999999998</v>
      </c>
      <c r="E15" s="14">
        <v>5.4999999999999997E-3</v>
      </c>
      <c r="F15" s="14">
        <v>0.36830000000000002</v>
      </c>
      <c r="G15" s="38">
        <f t="shared" si="0"/>
        <v>-3.1999999999999806E-3</v>
      </c>
      <c r="H15" s="12"/>
      <c r="I15" s="55">
        <v>161</v>
      </c>
      <c r="J15" s="38"/>
    </row>
    <row r="16" spans="1:10">
      <c r="A16" s="10" t="s">
        <v>392</v>
      </c>
      <c r="B16" s="10" t="s">
        <v>362</v>
      </c>
      <c r="C16" s="12" t="s">
        <v>389</v>
      </c>
      <c r="D16" s="14">
        <v>0.74180000000000001</v>
      </c>
      <c r="E16" s="14">
        <v>5.0000000000000001E-3</v>
      </c>
      <c r="F16" s="14">
        <v>0.37380000000000002</v>
      </c>
      <c r="G16" s="38">
        <f t="shared" si="0"/>
        <v>2.3000000000000242E-3</v>
      </c>
      <c r="H16" s="12" t="s">
        <v>439</v>
      </c>
      <c r="I16" s="55">
        <v>157</v>
      </c>
      <c r="J16" s="38"/>
    </row>
    <row r="17" spans="1:10">
      <c r="A17" s="10" t="s">
        <v>393</v>
      </c>
      <c r="B17" s="10" t="s">
        <v>362</v>
      </c>
      <c r="C17" s="12" t="s">
        <v>399</v>
      </c>
      <c r="D17" s="14">
        <v>0.73560000000000003</v>
      </c>
      <c r="E17" s="14">
        <v>6.4000000000000003E-3</v>
      </c>
      <c r="F17" s="14">
        <v>0.36880000000000002</v>
      </c>
      <c r="G17" s="38">
        <f t="shared" si="0"/>
        <v>-2.6999999999999802E-3</v>
      </c>
      <c r="H17" s="12"/>
      <c r="I17" s="55">
        <v>141</v>
      </c>
      <c r="J17" s="38"/>
    </row>
    <row r="18" spans="1:10">
      <c r="A18" s="10" t="s">
        <v>394</v>
      </c>
      <c r="B18" s="10" t="s">
        <v>362</v>
      </c>
      <c r="C18" s="12" t="s">
        <v>400</v>
      </c>
      <c r="D18" s="14">
        <v>0.7419</v>
      </c>
      <c r="E18" s="14">
        <v>5.1000000000000004E-3</v>
      </c>
      <c r="F18" s="14">
        <v>0.37380000000000002</v>
      </c>
      <c r="G18" s="38">
        <f t="shared" si="0"/>
        <v>2.3000000000000242E-3</v>
      </c>
      <c r="H18" s="12" t="s">
        <v>552</v>
      </c>
      <c r="I18" s="55">
        <v>156</v>
      </c>
      <c r="J18" s="38"/>
    </row>
    <row r="19" spans="1:10">
      <c r="A19" s="10" t="s">
        <v>395</v>
      </c>
      <c r="B19" s="10" t="s">
        <v>362</v>
      </c>
      <c r="C19" s="12" t="s">
        <v>401</v>
      </c>
      <c r="D19" s="14">
        <v>0.74309999999999998</v>
      </c>
      <c r="E19" s="14">
        <v>4.8999999999999998E-3</v>
      </c>
      <c r="F19" s="14">
        <v>0.36780000000000002</v>
      </c>
      <c r="G19" s="38">
        <f t="shared" si="0"/>
        <v>-3.6999999999999811E-3</v>
      </c>
      <c r="H19" s="12" t="s">
        <v>407</v>
      </c>
      <c r="I19" s="55">
        <v>165</v>
      </c>
      <c r="J19" s="38"/>
    </row>
    <row r="20" spans="1:10">
      <c r="A20" s="10" t="s">
        <v>396</v>
      </c>
      <c r="B20" s="10" t="s">
        <v>362</v>
      </c>
      <c r="C20" s="12" t="s">
        <v>402</v>
      </c>
      <c r="D20" s="14">
        <v>0.74529999999999996</v>
      </c>
      <c r="E20" s="14">
        <v>6.3E-3</v>
      </c>
      <c r="F20" s="14">
        <v>0.37319999999999998</v>
      </c>
      <c r="G20" s="38">
        <f t="shared" si="0"/>
        <v>1.6999999999999793E-3</v>
      </c>
      <c r="H20" s="12"/>
      <c r="I20" s="55">
        <v>163</v>
      </c>
      <c r="J20" s="38"/>
    </row>
    <row r="21" spans="1:10">
      <c r="A21" s="10" t="s">
        <v>397</v>
      </c>
      <c r="B21" s="10" t="s">
        <v>362</v>
      </c>
      <c r="C21" s="12" t="s">
        <v>403</v>
      </c>
      <c r="D21" s="14">
        <v>0.74570000000000003</v>
      </c>
      <c r="E21" s="14">
        <v>5.7999999999999996E-3</v>
      </c>
      <c r="F21" s="14">
        <v>0.37059999999999998</v>
      </c>
      <c r="G21" s="38">
        <f t="shared" si="0"/>
        <v>-9.000000000000119E-4</v>
      </c>
      <c r="H21" s="12"/>
      <c r="I21" s="55">
        <v>162</v>
      </c>
      <c r="J21" s="38"/>
    </row>
    <row r="22" spans="1:10">
      <c r="A22" s="10" t="s">
        <v>398</v>
      </c>
      <c r="B22" s="10" t="s">
        <v>362</v>
      </c>
      <c r="C22" s="12" t="s">
        <v>404</v>
      </c>
      <c r="D22" s="14">
        <v>0.74560000000000004</v>
      </c>
      <c r="E22" s="14">
        <v>5.0000000000000001E-3</v>
      </c>
      <c r="F22" s="14">
        <v>0.3674</v>
      </c>
      <c r="G22" s="38">
        <f t="shared" si="0"/>
        <v>-4.0999999999999925E-3</v>
      </c>
      <c r="H22" s="12" t="s">
        <v>407</v>
      </c>
      <c r="I22" s="55">
        <v>162</v>
      </c>
      <c r="J22" s="38"/>
    </row>
    <row r="23" spans="1:10">
      <c r="A23" s="10" t="s">
        <v>408</v>
      </c>
      <c r="B23" s="10" t="s">
        <v>362</v>
      </c>
      <c r="C23" s="12" t="s">
        <v>405</v>
      </c>
      <c r="D23" s="14">
        <v>0.73199999999999998</v>
      </c>
      <c r="E23" s="14">
        <v>5.1000000000000004E-3</v>
      </c>
      <c r="F23" s="14">
        <v>0.36059999999999998</v>
      </c>
      <c r="G23" s="38">
        <f t="shared" si="0"/>
        <v>-1.0900000000000021E-2</v>
      </c>
      <c r="H23" s="12" t="s">
        <v>407</v>
      </c>
      <c r="I23" s="55">
        <v>153</v>
      </c>
      <c r="J23" s="38"/>
    </row>
    <row r="24" spans="1:10">
      <c r="A24" s="10" t="s">
        <v>409</v>
      </c>
      <c r="B24" s="10" t="s">
        <v>362</v>
      </c>
      <c r="C24" s="12" t="s">
        <v>406</v>
      </c>
      <c r="D24" s="14">
        <v>0.74419999999999997</v>
      </c>
      <c r="E24" s="14">
        <v>4.5999999999999999E-3</v>
      </c>
      <c r="F24" s="14">
        <v>0.36930000000000002</v>
      </c>
      <c r="G24" s="38">
        <f t="shared" si="0"/>
        <v>-2.1999999999999797E-3</v>
      </c>
      <c r="H24" s="12"/>
      <c r="I24" s="55">
        <v>161</v>
      </c>
      <c r="J24" s="38"/>
    </row>
    <row r="25" spans="1:10">
      <c r="A25" s="10" t="s">
        <v>410</v>
      </c>
      <c r="B25" s="10" t="s">
        <v>362</v>
      </c>
      <c r="C25" s="12" t="s">
        <v>423</v>
      </c>
      <c r="D25" s="14">
        <v>0.74450000000000005</v>
      </c>
      <c r="E25" s="14">
        <v>4.4999999999999997E-3</v>
      </c>
      <c r="F25" s="14">
        <v>0.36830000000000002</v>
      </c>
      <c r="G25" s="38">
        <f t="shared" si="0"/>
        <v>-3.1999999999999806E-3</v>
      </c>
      <c r="H25" s="12"/>
      <c r="I25" s="55">
        <v>159</v>
      </c>
      <c r="J25" s="38"/>
    </row>
    <row r="26" spans="1:10">
      <c r="A26" s="10" t="s">
        <v>411</v>
      </c>
      <c r="B26" s="10" t="s">
        <v>362</v>
      </c>
      <c r="C26" s="12" t="s">
        <v>424</v>
      </c>
      <c r="D26" s="14">
        <v>0.74790000000000001</v>
      </c>
      <c r="E26" s="14">
        <v>6.3E-3</v>
      </c>
      <c r="F26" s="14">
        <v>0.36680000000000001</v>
      </c>
      <c r="G26" s="38">
        <f t="shared" si="0"/>
        <v>-4.699999999999982E-3</v>
      </c>
      <c r="H26" s="12" t="s">
        <v>407</v>
      </c>
      <c r="I26" s="55">
        <v>152</v>
      </c>
      <c r="J26" s="38"/>
    </row>
    <row r="27" spans="1:10">
      <c r="A27" s="10" t="s">
        <v>412</v>
      </c>
      <c r="B27" s="10" t="s">
        <v>362</v>
      </c>
      <c r="C27" s="12" t="s">
        <v>425</v>
      </c>
      <c r="D27" s="14">
        <v>0.74370000000000003</v>
      </c>
      <c r="E27" s="14">
        <v>4.8999999999999998E-3</v>
      </c>
      <c r="F27" s="14">
        <v>0.3715</v>
      </c>
      <c r="G27" s="38">
        <f t="shared" si="0"/>
        <v>0</v>
      </c>
      <c r="H27" s="12" t="s">
        <v>440</v>
      </c>
      <c r="I27" s="55">
        <v>165</v>
      </c>
      <c r="J27" s="38"/>
    </row>
    <row r="28" spans="1:10">
      <c r="A28" s="10" t="s">
        <v>413</v>
      </c>
      <c r="B28" s="10" t="s">
        <v>362</v>
      </c>
      <c r="C28" s="12" t="s">
        <v>426</v>
      </c>
      <c r="D28" s="14">
        <v>0.74450000000000005</v>
      </c>
      <c r="E28" s="14">
        <v>5.1000000000000004E-3</v>
      </c>
      <c r="F28" s="14">
        <v>0.3715</v>
      </c>
      <c r="G28" s="38">
        <f t="shared" si="0"/>
        <v>0</v>
      </c>
      <c r="H28" s="12" t="s">
        <v>440</v>
      </c>
      <c r="I28" s="55">
        <v>165</v>
      </c>
      <c r="J28" s="38"/>
    </row>
    <row r="29" spans="1:10">
      <c r="A29" s="10" t="s">
        <v>414</v>
      </c>
      <c r="B29" s="10" t="s">
        <v>362</v>
      </c>
      <c r="C29" s="12" t="s">
        <v>427</v>
      </c>
      <c r="D29" s="14">
        <v>0.74609999999999999</v>
      </c>
      <c r="E29" s="14">
        <v>5.4000000000000003E-3</v>
      </c>
      <c r="F29" s="14">
        <v>0.37159999999999999</v>
      </c>
      <c r="G29" s="38">
        <f t="shared" si="0"/>
        <v>9.9999999999988987E-5</v>
      </c>
      <c r="H29" s="12"/>
      <c r="I29" s="55">
        <v>147</v>
      </c>
      <c r="J29" s="38"/>
    </row>
    <row r="30" spans="1:10">
      <c r="A30" s="10" t="s">
        <v>415</v>
      </c>
      <c r="B30" s="10" t="s">
        <v>362</v>
      </c>
      <c r="C30" s="12" t="s">
        <v>428</v>
      </c>
      <c r="D30" s="14">
        <v>0.74490000000000001</v>
      </c>
      <c r="E30" s="14">
        <v>5.1999999999999998E-3</v>
      </c>
      <c r="F30" s="14">
        <v>0.36709999999999998</v>
      </c>
      <c r="G30" s="38">
        <f t="shared" si="0"/>
        <v>-4.400000000000015E-3</v>
      </c>
      <c r="H30" s="12" t="s">
        <v>407</v>
      </c>
      <c r="I30" s="55">
        <v>145</v>
      </c>
      <c r="J30" s="38"/>
    </row>
    <row r="31" spans="1:10">
      <c r="A31" s="10" t="s">
        <v>416</v>
      </c>
      <c r="B31" s="10" t="s">
        <v>362</v>
      </c>
      <c r="C31" s="16" t="s">
        <v>444</v>
      </c>
      <c r="D31" s="14">
        <v>0.73329999999999995</v>
      </c>
      <c r="E31" s="14">
        <v>6.7999999999999996E-3</v>
      </c>
      <c r="F31" s="14">
        <v>0.34599999999999997</v>
      </c>
      <c r="G31" s="38">
        <f t="shared" si="0"/>
        <v>-2.5500000000000023E-2</v>
      </c>
      <c r="H31" s="12" t="s">
        <v>441</v>
      </c>
      <c r="I31" s="55">
        <v>158</v>
      </c>
      <c r="J31" s="38"/>
    </row>
    <row r="32" spans="1:10">
      <c r="A32" s="10" t="s">
        <v>417</v>
      </c>
      <c r="B32" s="10" t="s">
        <v>362</v>
      </c>
      <c r="C32" s="17" t="s">
        <v>431</v>
      </c>
      <c r="D32" s="14">
        <v>0.74380000000000002</v>
      </c>
      <c r="E32" s="14">
        <v>4.8999999999999998E-3</v>
      </c>
      <c r="F32" s="14">
        <v>0.37140000000000001</v>
      </c>
      <c r="G32" s="38">
        <f t="shared" si="0"/>
        <v>-9.9999999999988987E-5</v>
      </c>
      <c r="H32" s="12" t="s">
        <v>443</v>
      </c>
      <c r="I32" s="55">
        <v>165</v>
      </c>
      <c r="J32" s="38"/>
    </row>
    <row r="33" spans="1:10">
      <c r="A33" s="10" t="s">
        <v>418</v>
      </c>
      <c r="B33" s="10" t="s">
        <v>362</v>
      </c>
      <c r="C33" s="17" t="s">
        <v>432</v>
      </c>
      <c r="D33" s="14">
        <v>0.74360000000000004</v>
      </c>
      <c r="E33" s="14">
        <v>6.7999999999999996E-3</v>
      </c>
      <c r="F33" s="14">
        <v>0.37159999999999999</v>
      </c>
      <c r="G33" s="38">
        <f t="shared" si="0"/>
        <v>9.9999999999988987E-5</v>
      </c>
      <c r="H33" s="12"/>
      <c r="I33" s="55">
        <v>162</v>
      </c>
      <c r="J33" s="38"/>
    </row>
    <row r="34" spans="1:10">
      <c r="A34" s="10" t="s">
        <v>419</v>
      </c>
      <c r="B34" s="10" t="s">
        <v>362</v>
      </c>
      <c r="C34" s="17" t="s">
        <v>433</v>
      </c>
      <c r="D34" s="14">
        <v>0.74570000000000003</v>
      </c>
      <c r="E34" s="14">
        <v>5.4999999999999997E-3</v>
      </c>
      <c r="F34" s="14">
        <v>0.37280000000000002</v>
      </c>
      <c r="G34" s="38">
        <f t="shared" si="0"/>
        <v>1.3000000000000234E-3</v>
      </c>
      <c r="H34" s="12" t="s">
        <v>442</v>
      </c>
      <c r="I34" s="55">
        <v>166</v>
      </c>
      <c r="J34" s="38"/>
    </row>
    <row r="35" spans="1:10">
      <c r="A35" s="10" t="s">
        <v>420</v>
      </c>
      <c r="B35" s="10" t="s">
        <v>362</v>
      </c>
      <c r="C35" s="17" t="s">
        <v>434</v>
      </c>
      <c r="D35" s="14">
        <v>0.74199999999999999</v>
      </c>
      <c r="E35" s="14">
        <v>6.4000000000000003E-3</v>
      </c>
      <c r="F35" s="14">
        <v>0.37319999999999998</v>
      </c>
      <c r="G35" s="38">
        <f t="shared" si="0"/>
        <v>1.6999999999999793E-3</v>
      </c>
      <c r="H35" s="12"/>
      <c r="I35" s="55">
        <v>164</v>
      </c>
      <c r="J35" s="38"/>
    </row>
    <row r="36" spans="1:10">
      <c r="A36" s="10" t="s">
        <v>421</v>
      </c>
      <c r="B36" s="10" t="s">
        <v>362</v>
      </c>
      <c r="C36" s="17" t="s">
        <v>429</v>
      </c>
      <c r="D36" s="14">
        <v>0.74429999999999996</v>
      </c>
      <c r="E36" s="14">
        <v>5.7000000000000002E-3</v>
      </c>
      <c r="F36" s="14">
        <v>0.37130000000000002</v>
      </c>
      <c r="G36" s="38">
        <f t="shared" si="0"/>
        <v>-1.9999999999997797E-4</v>
      </c>
      <c r="H36" s="12"/>
      <c r="I36" s="55">
        <v>164</v>
      </c>
      <c r="J36" s="38"/>
    </row>
    <row r="37" spans="1:10">
      <c r="A37" s="10" t="s">
        <v>422</v>
      </c>
      <c r="B37" s="10" t="s">
        <v>362</v>
      </c>
      <c r="C37" s="17" t="s">
        <v>430</v>
      </c>
      <c r="D37" s="14">
        <v>0.74380000000000002</v>
      </c>
      <c r="E37" s="14">
        <v>5.0000000000000001E-3</v>
      </c>
      <c r="F37" s="14">
        <v>0.37219999999999998</v>
      </c>
      <c r="G37" s="38">
        <f t="shared" si="0"/>
        <v>6.9999999999997842E-4</v>
      </c>
      <c r="H37" s="12"/>
      <c r="I37" s="55">
        <v>160</v>
      </c>
      <c r="J37" s="38"/>
    </row>
    <row r="38" spans="1:10">
      <c r="A38" s="10" t="s">
        <v>445</v>
      </c>
      <c r="B38" s="10" t="s">
        <v>362</v>
      </c>
      <c r="C38" s="12" t="s">
        <v>446</v>
      </c>
      <c r="D38" s="14">
        <v>0.73299999999999998</v>
      </c>
      <c r="E38" s="14">
        <v>6.1000000000000004E-3</v>
      </c>
      <c r="F38" s="14">
        <v>0.37480000000000002</v>
      </c>
      <c r="G38" s="38">
        <f t="shared" si="0"/>
        <v>3.3000000000000251E-3</v>
      </c>
      <c r="H38" s="12" t="s">
        <v>447</v>
      </c>
      <c r="I38" s="55">
        <v>142</v>
      </c>
      <c r="J38" s="38"/>
    </row>
    <row r="39" spans="1:10">
      <c r="A39" s="10" t="s">
        <v>448</v>
      </c>
      <c r="B39" s="10" t="s">
        <v>362</v>
      </c>
      <c r="C39" s="12" t="s">
        <v>521</v>
      </c>
      <c r="D39" s="14">
        <v>0.70430000000000004</v>
      </c>
      <c r="E39" s="14">
        <v>3.7000000000000002E-3</v>
      </c>
      <c r="F39" s="14">
        <v>0.34370000000000001</v>
      </c>
      <c r="G39" s="38">
        <f t="shared" si="0"/>
        <v>-2.7799999999999991E-2</v>
      </c>
      <c r="H39" s="12"/>
      <c r="I39" s="55">
        <v>23</v>
      </c>
      <c r="J39" s="38"/>
    </row>
    <row r="40" spans="1:10">
      <c r="A40" s="10" t="s">
        <v>449</v>
      </c>
      <c r="B40" s="13"/>
      <c r="C40" s="12"/>
      <c r="D40" s="13"/>
      <c r="E40" s="13"/>
      <c r="F40" s="13"/>
      <c r="G40" s="38"/>
      <c r="H40" s="13"/>
      <c r="I40" s="55"/>
      <c r="J40" s="38"/>
    </row>
    <row r="41" spans="1:10">
      <c r="A41" s="10" t="s">
        <v>450</v>
      </c>
      <c r="B41" s="13"/>
      <c r="C41" s="12"/>
      <c r="D41" s="13"/>
      <c r="E41" s="13"/>
      <c r="F41" s="13"/>
      <c r="G41" s="38"/>
      <c r="H41" s="13"/>
      <c r="I41" s="55"/>
      <c r="J41" s="38"/>
    </row>
    <row r="42" spans="1:10">
      <c r="A42" s="10" t="s">
        <v>451</v>
      </c>
      <c r="B42" s="13"/>
      <c r="C42" s="12"/>
      <c r="D42" s="13"/>
      <c r="E42" s="13"/>
      <c r="F42" s="13"/>
      <c r="G42" s="38"/>
      <c r="H42" s="13"/>
      <c r="I42" s="55"/>
      <c r="J42" s="38"/>
    </row>
    <row r="43" spans="1:10">
      <c r="A43" s="10" t="s">
        <v>452</v>
      </c>
      <c r="B43" s="13"/>
      <c r="C43" s="12"/>
      <c r="D43" s="13"/>
      <c r="E43" s="13"/>
      <c r="F43" s="13"/>
      <c r="G43" s="38"/>
      <c r="H43" s="13"/>
      <c r="I43" s="55"/>
      <c r="J43" s="38"/>
    </row>
    <row r="44" spans="1:10">
      <c r="A44" s="10" t="s">
        <v>453</v>
      </c>
      <c r="B44" s="13"/>
      <c r="C44" s="12"/>
      <c r="D44" s="13"/>
      <c r="E44" s="13"/>
      <c r="F44" s="13"/>
      <c r="G44" s="38"/>
      <c r="H44" s="13"/>
      <c r="I44" s="55"/>
      <c r="J44" s="38"/>
    </row>
    <row r="45" spans="1:10">
      <c r="A45" s="10" t="s">
        <v>454</v>
      </c>
      <c r="B45" s="13"/>
      <c r="C45" s="12"/>
      <c r="D45" s="13"/>
      <c r="E45" s="13"/>
      <c r="F45" s="13"/>
      <c r="G45" s="38"/>
      <c r="H45" s="13"/>
      <c r="I45" s="55"/>
      <c r="J45" s="38"/>
    </row>
    <row r="46" spans="1:10">
      <c r="A46" s="10" t="s">
        <v>455</v>
      </c>
      <c r="B46" s="13"/>
      <c r="C46" s="12"/>
      <c r="D46" s="13"/>
      <c r="E46" s="13"/>
      <c r="F46" s="13"/>
      <c r="G46" s="38"/>
      <c r="H46" s="13"/>
      <c r="I46" s="55"/>
      <c r="J46" s="38"/>
    </row>
    <row r="47" spans="1:10">
      <c r="A47" s="10" t="s">
        <v>456</v>
      </c>
      <c r="B47" s="13"/>
      <c r="C47" s="12"/>
      <c r="D47" s="13"/>
      <c r="E47" s="13"/>
      <c r="F47" s="13"/>
      <c r="G47" s="38"/>
      <c r="H47" s="13"/>
      <c r="I47" s="55"/>
      <c r="J47" s="38"/>
    </row>
    <row r="48" spans="1:10">
      <c r="A48" s="10" t="s">
        <v>457</v>
      </c>
      <c r="B48" s="13"/>
      <c r="C48" s="12"/>
      <c r="D48" s="13"/>
      <c r="E48" s="13"/>
      <c r="F48" s="13"/>
      <c r="G48" s="38"/>
      <c r="H48" s="13"/>
      <c r="I48" s="55"/>
      <c r="J48" s="38"/>
    </row>
    <row r="49" spans="1:10">
      <c r="A49" s="10" t="s">
        <v>458</v>
      </c>
      <c r="B49" s="13"/>
      <c r="C49" s="12"/>
      <c r="D49" s="13"/>
      <c r="E49" s="13"/>
      <c r="F49" s="13"/>
      <c r="G49" s="38"/>
      <c r="H49" s="13"/>
      <c r="I49" s="55"/>
      <c r="J49" s="38"/>
    </row>
    <row r="50" spans="1:10">
      <c r="A50" s="10" t="s">
        <v>459</v>
      </c>
      <c r="B50" s="13"/>
      <c r="C50" s="12"/>
      <c r="D50" s="13"/>
      <c r="E50" s="13"/>
      <c r="F50" s="13"/>
      <c r="G50" s="38"/>
      <c r="H50" s="13"/>
      <c r="I50" s="55"/>
      <c r="J50" s="38"/>
    </row>
    <row r="51" spans="1:10">
      <c r="A51" s="10" t="s">
        <v>460</v>
      </c>
      <c r="B51" s="13"/>
      <c r="C51" s="12"/>
      <c r="D51" s="13"/>
      <c r="E51" s="13"/>
      <c r="F51" s="13"/>
      <c r="G51" s="38"/>
      <c r="H51" s="13"/>
      <c r="I51" s="55"/>
      <c r="J51" s="38"/>
    </row>
    <row r="52" spans="1:10">
      <c r="A52" s="10" t="s">
        <v>461</v>
      </c>
      <c r="B52" s="13"/>
      <c r="C52" s="12"/>
      <c r="D52" s="13"/>
      <c r="E52" s="13"/>
      <c r="F52" s="13"/>
      <c r="G52" s="38"/>
      <c r="H52" s="13"/>
      <c r="I52" s="55"/>
      <c r="J52" s="38"/>
    </row>
    <row r="53" spans="1:10">
      <c r="A53" s="10" t="s">
        <v>462</v>
      </c>
      <c r="B53" s="13"/>
      <c r="C53" s="12"/>
      <c r="D53" s="13"/>
      <c r="E53" s="13"/>
      <c r="F53" s="13"/>
      <c r="G53" s="38"/>
      <c r="H53" s="13"/>
      <c r="I53" s="55"/>
      <c r="J53" s="38"/>
    </row>
    <row r="54" spans="1:10">
      <c r="A54" s="10" t="s">
        <v>463</v>
      </c>
      <c r="B54" s="13"/>
      <c r="C54" s="12"/>
      <c r="D54" s="13"/>
      <c r="E54" s="13"/>
      <c r="F54" s="13"/>
      <c r="G54" s="38"/>
      <c r="H54" s="13"/>
      <c r="I54" s="55"/>
      <c r="J54" s="38"/>
    </row>
    <row r="55" spans="1:10">
      <c r="A55" s="10" t="s">
        <v>464</v>
      </c>
      <c r="B55" s="13"/>
      <c r="C55" s="12"/>
      <c r="D55" s="13"/>
      <c r="E55" s="13"/>
      <c r="F55" s="13"/>
      <c r="G55" s="38"/>
      <c r="H55" s="13"/>
      <c r="I55" s="55"/>
      <c r="J55" s="38"/>
    </row>
    <row r="56" spans="1:10">
      <c r="A56" s="10" t="s">
        <v>465</v>
      </c>
      <c r="B56" s="13"/>
      <c r="C56" s="12"/>
      <c r="D56" s="13"/>
      <c r="E56" s="13"/>
      <c r="F56" s="13"/>
      <c r="G56" s="38"/>
      <c r="H56" s="13"/>
      <c r="I56" s="55"/>
      <c r="J56" s="38"/>
    </row>
    <row r="57" spans="1:10">
      <c r="A57" s="10" t="s">
        <v>466</v>
      </c>
      <c r="B57" s="13"/>
      <c r="C57" s="12"/>
      <c r="D57" s="13"/>
      <c r="E57" s="13"/>
      <c r="F57" s="13"/>
      <c r="G57" s="38"/>
      <c r="H57" s="13"/>
      <c r="I57" s="55"/>
      <c r="J57" s="38"/>
    </row>
    <row r="58" spans="1:10">
      <c r="A58" s="10" t="s">
        <v>467</v>
      </c>
      <c r="B58" s="13"/>
      <c r="C58" s="12"/>
      <c r="D58" s="13"/>
      <c r="E58" s="13"/>
      <c r="F58" s="13"/>
      <c r="G58" s="38"/>
      <c r="H58" s="13"/>
      <c r="I58" s="55"/>
      <c r="J58" s="38"/>
    </row>
    <row r="59" spans="1:10">
      <c r="A59" s="10" t="s">
        <v>468</v>
      </c>
      <c r="B59" s="13"/>
      <c r="C59" s="12"/>
      <c r="D59" s="13"/>
      <c r="E59" s="13"/>
      <c r="F59" s="13"/>
      <c r="G59" s="38"/>
      <c r="H59" s="13"/>
      <c r="I59" s="55"/>
      <c r="J59" s="38"/>
    </row>
    <row r="60" spans="1:10">
      <c r="A60" s="10" t="s">
        <v>469</v>
      </c>
      <c r="B60" s="13"/>
      <c r="C60" s="12"/>
      <c r="D60" s="13"/>
      <c r="E60" s="13"/>
      <c r="F60" s="13"/>
      <c r="G60" s="38"/>
      <c r="H60" s="13"/>
      <c r="I60" s="55"/>
      <c r="J60" s="38"/>
    </row>
    <row r="61" spans="1:10">
      <c r="A61" s="10" t="s">
        <v>470</v>
      </c>
      <c r="B61" s="13"/>
      <c r="C61" s="12"/>
      <c r="D61" s="13"/>
      <c r="E61" s="13"/>
      <c r="F61" s="13"/>
      <c r="G61" s="38"/>
      <c r="H61" s="13"/>
      <c r="I61" s="55"/>
      <c r="J61" s="38"/>
    </row>
    <row r="62" spans="1:10">
      <c r="A62" s="10" t="s">
        <v>471</v>
      </c>
      <c r="B62" s="13"/>
      <c r="C62" s="12"/>
      <c r="D62" s="13"/>
      <c r="E62" s="13"/>
      <c r="F62" s="13"/>
      <c r="G62" s="38"/>
      <c r="H62" s="13"/>
      <c r="I62" s="55"/>
      <c r="J62" s="38"/>
    </row>
    <row r="63" spans="1:10">
      <c r="A63" s="10" t="s">
        <v>472</v>
      </c>
      <c r="B63" s="13"/>
      <c r="C63" s="12"/>
      <c r="D63" s="13"/>
      <c r="E63" s="13"/>
      <c r="F63" s="13"/>
      <c r="G63" s="38"/>
      <c r="H63" s="13"/>
      <c r="I63" s="55"/>
      <c r="J63" s="38"/>
    </row>
    <row r="64" spans="1:10">
      <c r="A64" s="10" t="s">
        <v>473</v>
      </c>
      <c r="B64" s="13"/>
      <c r="C64" s="12"/>
      <c r="D64" s="13"/>
      <c r="E64" s="13"/>
      <c r="F64" s="13"/>
      <c r="G64" s="38"/>
      <c r="H64" s="13"/>
      <c r="I64" s="55"/>
      <c r="J64" s="38"/>
    </row>
    <row r="65" spans="1:10">
      <c r="A65" s="10" t="s">
        <v>474</v>
      </c>
      <c r="B65" s="13"/>
      <c r="C65" s="12"/>
      <c r="D65" s="13"/>
      <c r="E65" s="13"/>
      <c r="F65" s="13"/>
      <c r="G65" s="38"/>
      <c r="H65" s="13"/>
      <c r="I65" s="55"/>
      <c r="J65" s="38"/>
    </row>
    <row r="66" spans="1:10">
      <c r="A66" s="10" t="s">
        <v>475</v>
      </c>
      <c r="B66" s="13"/>
      <c r="C66" s="12"/>
      <c r="D66" s="13"/>
      <c r="E66" s="13"/>
      <c r="F66" s="13"/>
      <c r="G66" s="38"/>
      <c r="H66" s="13"/>
      <c r="I66" s="55"/>
      <c r="J66" s="38"/>
    </row>
    <row r="67" spans="1:10">
      <c r="A67" s="10" t="s">
        <v>476</v>
      </c>
      <c r="B67" s="13"/>
      <c r="C67" s="12"/>
      <c r="D67" s="13"/>
      <c r="E67" s="13"/>
      <c r="F67" s="13"/>
      <c r="G67" s="38"/>
      <c r="H67" s="13"/>
      <c r="I67" s="55"/>
      <c r="J67" s="38"/>
    </row>
    <row r="68" spans="1:10">
      <c r="A68" s="10" t="s">
        <v>477</v>
      </c>
      <c r="B68" s="13"/>
      <c r="C68" s="12"/>
      <c r="D68" s="13"/>
      <c r="E68" s="13"/>
      <c r="F68" s="13"/>
      <c r="G68" s="38"/>
      <c r="H68" s="13"/>
      <c r="I68" s="55"/>
      <c r="J68" s="38"/>
    </row>
    <row r="69" spans="1:10">
      <c r="A69" s="10" t="s">
        <v>478</v>
      </c>
      <c r="B69" s="13"/>
      <c r="C69" s="12"/>
      <c r="D69" s="13"/>
      <c r="E69" s="13"/>
      <c r="F69" s="13"/>
      <c r="G69" s="38"/>
      <c r="H69" s="13"/>
      <c r="I69" s="55"/>
      <c r="J69" s="38"/>
    </row>
    <row r="70" spans="1:10">
      <c r="A70" s="10" t="s">
        <v>479</v>
      </c>
      <c r="B70" s="13"/>
      <c r="C70" s="12"/>
      <c r="D70" s="13"/>
      <c r="E70" s="13"/>
      <c r="F70" s="13"/>
      <c r="G70" s="38"/>
      <c r="H70" s="13"/>
      <c r="I70" s="55"/>
      <c r="J70" s="38"/>
    </row>
    <row r="71" spans="1:10">
      <c r="A71" s="10" t="s">
        <v>480</v>
      </c>
      <c r="B71" s="13"/>
      <c r="C71" s="12"/>
      <c r="D71" s="13"/>
      <c r="E71" s="13"/>
      <c r="F71" s="13"/>
      <c r="G71" s="38"/>
      <c r="H71" s="13"/>
      <c r="I71" s="55"/>
      <c r="J71" s="38"/>
    </row>
    <row r="72" spans="1:10">
      <c r="A72" s="10" t="s">
        <v>481</v>
      </c>
      <c r="B72" s="13"/>
      <c r="C72" s="12"/>
      <c r="D72" s="13"/>
      <c r="E72" s="13"/>
      <c r="F72" s="13"/>
      <c r="G72" s="38"/>
      <c r="H72" s="13"/>
      <c r="I72" s="55"/>
      <c r="J72" s="38"/>
    </row>
    <row r="73" spans="1:10">
      <c r="A73" s="10" t="s">
        <v>482</v>
      </c>
      <c r="B73" s="13"/>
      <c r="C73" s="12"/>
      <c r="D73" s="13"/>
      <c r="E73" s="13"/>
      <c r="F73" s="13"/>
      <c r="G73" s="38"/>
      <c r="H73" s="13"/>
      <c r="I73" s="55"/>
      <c r="J73" s="38"/>
    </row>
    <row r="74" spans="1:10">
      <c r="A74" s="10" t="s">
        <v>483</v>
      </c>
      <c r="B74" s="13"/>
      <c r="C74" s="12"/>
      <c r="D74" s="13"/>
      <c r="E74" s="13"/>
      <c r="F74" s="13"/>
      <c r="G74" s="38"/>
      <c r="H74" s="13"/>
      <c r="I74" s="55"/>
      <c r="J74" s="38"/>
    </row>
    <row r="75" spans="1:10">
      <c r="A75" s="10" t="s">
        <v>484</v>
      </c>
      <c r="B75" s="13"/>
      <c r="C75" s="12"/>
      <c r="D75" s="13"/>
      <c r="E75" s="13"/>
      <c r="F75" s="13"/>
      <c r="G75" s="38"/>
      <c r="H75" s="13"/>
      <c r="I75" s="55"/>
      <c r="J75" s="38"/>
    </row>
    <row r="76" spans="1:10">
      <c r="A76" s="10" t="s">
        <v>485</v>
      </c>
      <c r="B76" s="13"/>
      <c r="C76" s="12"/>
      <c r="D76" s="13"/>
      <c r="E76" s="13"/>
      <c r="F76" s="13"/>
      <c r="G76" s="38"/>
      <c r="H76" s="13"/>
      <c r="I76" s="55"/>
      <c r="J76" s="38"/>
    </row>
    <row r="77" spans="1:10">
      <c r="A77" s="10" t="s">
        <v>486</v>
      </c>
      <c r="B77" s="13"/>
      <c r="C77" s="12"/>
      <c r="D77" s="13"/>
      <c r="E77" s="13"/>
      <c r="F77" s="13"/>
      <c r="G77" s="38"/>
      <c r="H77" s="13"/>
      <c r="I77" s="55"/>
      <c r="J77" s="38"/>
    </row>
    <row r="78" spans="1:10">
      <c r="A78" s="10" t="s">
        <v>487</v>
      </c>
      <c r="B78" s="13"/>
      <c r="C78" s="12"/>
      <c r="D78" s="13"/>
      <c r="E78" s="13"/>
      <c r="F78" s="13"/>
      <c r="G78" s="38"/>
      <c r="H78" s="13"/>
      <c r="I78" s="55"/>
      <c r="J78" s="38"/>
    </row>
    <row r="79" spans="1:10">
      <c r="A79" s="10" t="s">
        <v>488</v>
      </c>
      <c r="B79" s="13"/>
      <c r="C79" s="12"/>
      <c r="D79" s="13"/>
      <c r="E79" s="13"/>
      <c r="F79" s="13"/>
      <c r="G79" s="38"/>
      <c r="H79" s="13"/>
      <c r="I79" s="55"/>
      <c r="J79" s="38"/>
    </row>
    <row r="80" spans="1:10">
      <c r="A80" s="10" t="s">
        <v>489</v>
      </c>
      <c r="B80" s="13"/>
      <c r="C80" s="12"/>
      <c r="D80" s="13"/>
      <c r="E80" s="13"/>
      <c r="F80" s="13"/>
      <c r="G80" s="38"/>
      <c r="H80" s="13"/>
      <c r="I80" s="55"/>
      <c r="J80" s="38"/>
    </row>
    <row r="81" spans="1:10">
      <c r="A81" s="10" t="s">
        <v>490</v>
      </c>
      <c r="B81" s="13"/>
      <c r="C81" s="12"/>
      <c r="D81" s="13"/>
      <c r="E81" s="13"/>
      <c r="F81" s="13"/>
      <c r="G81" s="38"/>
      <c r="H81" s="13"/>
      <c r="I81" s="55"/>
      <c r="J81" s="38"/>
    </row>
    <row r="82" spans="1:10">
      <c r="A82" s="10" t="s">
        <v>491</v>
      </c>
      <c r="B82" s="13"/>
      <c r="C82" s="12"/>
      <c r="D82" s="13"/>
      <c r="E82" s="13"/>
      <c r="F82" s="13"/>
      <c r="G82" s="38"/>
      <c r="H82" s="13"/>
      <c r="I82" s="55"/>
      <c r="J82" s="38"/>
    </row>
    <row r="83" spans="1:10">
      <c r="A83" s="10" t="s">
        <v>492</v>
      </c>
      <c r="B83" s="13"/>
      <c r="C83" s="12"/>
      <c r="D83" s="13"/>
      <c r="E83" s="13"/>
      <c r="F83" s="13"/>
      <c r="G83" s="38"/>
      <c r="H83" s="13"/>
      <c r="I83" s="55"/>
      <c r="J83" s="38"/>
    </row>
    <row r="84" spans="1:10">
      <c r="A84" s="10" t="s">
        <v>493</v>
      </c>
      <c r="B84" s="13"/>
      <c r="C84" s="12"/>
      <c r="D84" s="13"/>
      <c r="E84" s="13"/>
      <c r="F84" s="13"/>
      <c r="G84" s="38"/>
      <c r="H84" s="13"/>
      <c r="I84" s="55"/>
      <c r="J84" s="38"/>
    </row>
    <row r="85" spans="1:10">
      <c r="A85" s="10" t="s">
        <v>494</v>
      </c>
      <c r="B85" s="13"/>
      <c r="C85" s="12"/>
      <c r="D85" s="13"/>
      <c r="E85" s="13"/>
      <c r="F85" s="13"/>
      <c r="G85" s="38"/>
      <c r="H85" s="13"/>
      <c r="I85" s="55"/>
      <c r="J85" s="38"/>
    </row>
    <row r="86" spans="1:10">
      <c r="A86" s="10" t="s">
        <v>495</v>
      </c>
      <c r="B86" s="13"/>
      <c r="C86" s="12"/>
      <c r="D86" s="13"/>
      <c r="E86" s="13"/>
      <c r="F86" s="13"/>
      <c r="G86" s="38"/>
      <c r="H86" s="13"/>
      <c r="I86" s="55"/>
      <c r="J86" s="38"/>
    </row>
    <row r="87" spans="1:10">
      <c r="A87" s="10" t="s">
        <v>496</v>
      </c>
      <c r="B87" s="13"/>
      <c r="C87" s="12"/>
      <c r="D87" s="13"/>
      <c r="E87" s="13"/>
      <c r="F87" s="13"/>
      <c r="G87" s="38"/>
      <c r="H87" s="13"/>
      <c r="I87" s="55"/>
      <c r="J87" s="38"/>
    </row>
    <row r="88" spans="1:10">
      <c r="A88" s="10" t="s">
        <v>497</v>
      </c>
      <c r="B88" s="13"/>
      <c r="C88" s="12"/>
      <c r="D88" s="13"/>
      <c r="E88" s="13"/>
      <c r="F88" s="13"/>
      <c r="G88" s="38"/>
      <c r="H88" s="13"/>
      <c r="I88" s="55"/>
      <c r="J88" s="38"/>
    </row>
    <row r="89" spans="1:10">
      <c r="A89" s="10" t="s">
        <v>498</v>
      </c>
      <c r="B89" s="13"/>
      <c r="C89" s="12"/>
      <c r="D89" s="13"/>
      <c r="E89" s="13"/>
      <c r="F89" s="13"/>
      <c r="G89" s="38"/>
      <c r="H89" s="13"/>
      <c r="I89" s="55"/>
      <c r="J89" s="38"/>
    </row>
    <row r="90" spans="1:10">
      <c r="A90" s="10" t="s">
        <v>499</v>
      </c>
      <c r="B90" s="13"/>
      <c r="C90" s="12"/>
      <c r="D90" s="13"/>
      <c r="E90" s="13"/>
      <c r="F90" s="13"/>
      <c r="G90" s="38"/>
      <c r="H90" s="13"/>
      <c r="I90" s="55"/>
      <c r="J90" s="38"/>
    </row>
    <row r="91" spans="1:10">
      <c r="A91" s="10" t="s">
        <v>500</v>
      </c>
      <c r="B91" s="13"/>
      <c r="C91" s="12"/>
      <c r="D91" s="13"/>
      <c r="E91" s="13"/>
      <c r="F91" s="13"/>
      <c r="G91" s="38"/>
      <c r="H91" s="13"/>
      <c r="I91" s="55"/>
      <c r="J91" s="38"/>
    </row>
    <row r="92" spans="1:10">
      <c r="A92" s="10" t="s">
        <v>501</v>
      </c>
      <c r="B92" s="13"/>
      <c r="C92" s="12"/>
      <c r="D92" s="13"/>
      <c r="E92" s="13"/>
      <c r="F92" s="13"/>
      <c r="G92" s="38"/>
      <c r="H92" s="13"/>
      <c r="I92" s="55"/>
      <c r="J92" s="38"/>
    </row>
    <row r="93" spans="1:10">
      <c r="A93" s="10" t="s">
        <v>502</v>
      </c>
      <c r="B93" s="13"/>
      <c r="C93" s="12"/>
      <c r="D93" s="13"/>
      <c r="E93" s="13"/>
      <c r="F93" s="13"/>
      <c r="G93" s="38"/>
      <c r="H93" s="13"/>
      <c r="I93" s="55"/>
      <c r="J93" s="38"/>
    </row>
    <row r="94" spans="1:10">
      <c r="A94" s="10" t="s">
        <v>503</v>
      </c>
      <c r="B94" s="13"/>
      <c r="C94" s="12"/>
      <c r="D94" s="13"/>
      <c r="E94" s="13"/>
      <c r="F94" s="13"/>
      <c r="G94" s="38"/>
      <c r="H94" s="13"/>
      <c r="I94" s="55"/>
      <c r="J94" s="38"/>
    </row>
    <row r="95" spans="1:10">
      <c r="A95" s="10" t="s">
        <v>504</v>
      </c>
      <c r="B95" s="13"/>
      <c r="C95" s="12"/>
      <c r="D95" s="13"/>
      <c r="E95" s="13"/>
      <c r="F95" s="13"/>
      <c r="G95" s="38"/>
      <c r="H95" s="13"/>
      <c r="I95" s="55"/>
      <c r="J95" s="38"/>
    </row>
    <row r="96" spans="1:10">
      <c r="A96" s="10" t="s">
        <v>505</v>
      </c>
      <c r="B96" s="13"/>
      <c r="C96" s="12"/>
      <c r="D96" s="13"/>
      <c r="E96" s="13"/>
      <c r="F96" s="13"/>
      <c r="G96" s="38"/>
      <c r="H96" s="13"/>
      <c r="I96" s="55"/>
      <c r="J96" s="38"/>
    </row>
    <row r="97" spans="1:10">
      <c r="A97" s="10" t="s">
        <v>506</v>
      </c>
      <c r="B97" s="13"/>
      <c r="C97" s="12"/>
      <c r="D97" s="13"/>
      <c r="E97" s="13"/>
      <c r="F97" s="13"/>
      <c r="G97" s="38"/>
      <c r="H97" s="13"/>
      <c r="I97" s="55"/>
      <c r="J97" s="38"/>
    </row>
    <row r="98" spans="1:10">
      <c r="A98" s="10" t="s">
        <v>507</v>
      </c>
      <c r="B98" s="13"/>
      <c r="C98" s="12"/>
      <c r="D98" s="13"/>
      <c r="E98" s="13"/>
      <c r="F98" s="13"/>
      <c r="G98" s="38"/>
      <c r="H98" s="13"/>
      <c r="I98" s="55"/>
      <c r="J98" s="38"/>
    </row>
    <row r="99" spans="1:10">
      <c r="A99" s="10" t="s">
        <v>508</v>
      </c>
      <c r="B99" s="13"/>
      <c r="C99" s="12"/>
      <c r="D99" s="13"/>
      <c r="E99" s="13"/>
      <c r="F99" s="13"/>
      <c r="G99" s="38"/>
      <c r="H99" s="13"/>
      <c r="I99" s="55"/>
      <c r="J99" s="38"/>
    </row>
    <row r="100" spans="1:10">
      <c r="A100" s="10" t="s">
        <v>509</v>
      </c>
      <c r="B100" s="13"/>
      <c r="C100" s="12"/>
      <c r="D100" s="13"/>
      <c r="E100" s="13"/>
      <c r="F100" s="13"/>
      <c r="G100" s="38"/>
      <c r="H100" s="13"/>
      <c r="I100" s="55"/>
      <c r="J100" s="38"/>
    </row>
    <row r="101" spans="1:10">
      <c r="A101" s="10" t="s">
        <v>510</v>
      </c>
      <c r="B101" s="13"/>
      <c r="C101" s="12"/>
      <c r="D101" s="13"/>
      <c r="E101" s="13"/>
      <c r="F101" s="13"/>
      <c r="G101" s="38"/>
      <c r="H101" s="13"/>
      <c r="I101" s="55"/>
      <c r="J101" s="38"/>
    </row>
    <row r="102" spans="1:10">
      <c r="A102" s="10" t="s">
        <v>511</v>
      </c>
      <c r="B102" s="13"/>
      <c r="C102" s="12"/>
      <c r="D102" s="13"/>
      <c r="E102" s="13"/>
      <c r="F102" s="13"/>
      <c r="G102" s="38"/>
      <c r="H102" s="13"/>
      <c r="I102" s="55"/>
      <c r="J102" s="38"/>
    </row>
    <row r="103" spans="1:10">
      <c r="A103" s="10" t="s">
        <v>512</v>
      </c>
      <c r="B103" s="13"/>
      <c r="C103" s="12"/>
      <c r="D103" s="13"/>
      <c r="E103" s="13"/>
      <c r="F103" s="13"/>
      <c r="G103" s="38"/>
      <c r="H103" s="13"/>
      <c r="I103" s="55"/>
      <c r="J103" s="38"/>
    </row>
    <row r="104" spans="1:10">
      <c r="A104" s="10" t="s">
        <v>513</v>
      </c>
      <c r="B104" s="13"/>
      <c r="C104" s="12"/>
      <c r="D104" s="13"/>
      <c r="E104" s="13"/>
      <c r="F104" s="13"/>
      <c r="G104" s="38"/>
      <c r="H104" s="13"/>
      <c r="I104" s="55"/>
      <c r="J104" s="38"/>
    </row>
    <row r="105" spans="1:10">
      <c r="A105" s="10" t="s">
        <v>514</v>
      </c>
      <c r="B105" s="13"/>
      <c r="C105" s="12"/>
      <c r="D105" s="13"/>
      <c r="E105" s="13"/>
      <c r="F105" s="13"/>
      <c r="G105" s="38"/>
      <c r="H105" s="13"/>
      <c r="I105" s="55"/>
      <c r="J105" s="38"/>
    </row>
    <row r="106" spans="1:10">
      <c r="A106" s="10" t="s">
        <v>515</v>
      </c>
      <c r="B106" s="13"/>
      <c r="C106" s="12"/>
      <c r="D106" s="13"/>
      <c r="E106" s="13"/>
      <c r="F106" s="13"/>
      <c r="G106" s="38"/>
      <c r="H106" s="13"/>
      <c r="I106" s="55"/>
      <c r="J106" s="38"/>
    </row>
    <row r="107" spans="1:10">
      <c r="A107" s="10" t="s">
        <v>516</v>
      </c>
      <c r="B107" s="13"/>
      <c r="C107" s="12"/>
      <c r="D107" s="13"/>
      <c r="E107" s="13"/>
      <c r="F107" s="13"/>
      <c r="G107" s="38"/>
      <c r="H107" s="13"/>
      <c r="I107" s="55"/>
      <c r="J107" s="38"/>
    </row>
    <row r="108" spans="1:10">
      <c r="A108" s="10" t="s">
        <v>517</v>
      </c>
      <c r="B108" s="13"/>
      <c r="C108" s="12"/>
      <c r="D108" s="13"/>
      <c r="E108" s="13"/>
      <c r="F108" s="13"/>
      <c r="G108" s="38"/>
      <c r="H108" s="13"/>
      <c r="I108" s="55"/>
      <c r="J108" s="38"/>
    </row>
    <row r="109" spans="1:10">
      <c r="A109" s="10" t="s">
        <v>518</v>
      </c>
      <c r="B109" s="13"/>
      <c r="C109" s="12"/>
      <c r="D109" s="13"/>
      <c r="E109" s="13"/>
      <c r="F109" s="13"/>
      <c r="G109" s="38"/>
      <c r="H109" s="13"/>
      <c r="I109" s="55"/>
      <c r="J109" s="38"/>
    </row>
    <row r="110" spans="1:10">
      <c r="A110" s="10" t="s">
        <v>519</v>
      </c>
      <c r="B110" s="13"/>
      <c r="C110" s="12"/>
      <c r="D110" s="13"/>
      <c r="E110" s="13"/>
      <c r="F110" s="13"/>
      <c r="G110" s="38"/>
      <c r="H110" s="13"/>
      <c r="I110" s="55"/>
      <c r="J110" s="38"/>
    </row>
    <row r="111" spans="1:10">
      <c r="A111" s="10" t="s">
        <v>520</v>
      </c>
      <c r="B111" s="13"/>
      <c r="C111" s="12"/>
      <c r="D111" s="13"/>
      <c r="E111" s="13"/>
      <c r="F111" s="13"/>
      <c r="G111" s="38"/>
      <c r="H111" s="13"/>
      <c r="I111" s="55"/>
      <c r="J111" s="3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3A9-EB4E-437A-B85C-60E12F580E7A}">
  <dimension ref="A1:E43"/>
  <sheetViews>
    <sheetView workbookViewId="0">
      <selection activeCell="E39" sqref="D39:E39"/>
    </sheetView>
  </sheetViews>
  <sheetFormatPr defaultColWidth="9.875" defaultRowHeight="16.5"/>
  <cols>
    <col min="1" max="1" width="20" bestFit="1" customWidth="1"/>
    <col min="2" max="2" width="21.375" bestFit="1" customWidth="1"/>
    <col min="4" max="4" width="20" bestFit="1" customWidth="1"/>
    <col min="5" max="5" width="23" bestFit="1" customWidth="1"/>
  </cols>
  <sheetData>
    <row r="1" spans="1:5">
      <c r="B1" s="14">
        <v>0.73240000000000005</v>
      </c>
    </row>
    <row r="2" spans="1:5">
      <c r="B2" s="14">
        <v>4.8999999999999998E-3</v>
      </c>
    </row>
    <row r="3" spans="1:5">
      <c r="B3" s="14">
        <v>3499</v>
      </c>
    </row>
    <row r="4" spans="1:5">
      <c r="A4" s="20" t="s">
        <v>545</v>
      </c>
      <c r="B4" s="18" t="s">
        <v>544</v>
      </c>
      <c r="D4" s="32" t="s">
        <v>544</v>
      </c>
      <c r="E4" s="33" t="s">
        <v>545</v>
      </c>
    </row>
    <row r="5" spans="1:5">
      <c r="A5" s="20" t="s">
        <v>338</v>
      </c>
      <c r="B5" s="21" t="s">
        <v>339</v>
      </c>
      <c r="D5" s="26" t="s">
        <v>328</v>
      </c>
      <c r="E5" s="27" t="s">
        <v>536</v>
      </c>
    </row>
    <row r="6" spans="1:5">
      <c r="A6" s="20" t="s">
        <v>335</v>
      </c>
      <c r="B6" s="21" t="s">
        <v>336</v>
      </c>
      <c r="D6" s="24" t="s">
        <v>328</v>
      </c>
      <c r="E6" s="28" t="s">
        <v>543</v>
      </c>
    </row>
    <row r="7" spans="1:5">
      <c r="A7" s="20" t="s">
        <v>328</v>
      </c>
      <c r="B7" s="18" t="s">
        <v>536</v>
      </c>
      <c r="D7" s="24" t="s">
        <v>328</v>
      </c>
      <c r="E7" s="34" t="s">
        <v>332</v>
      </c>
    </row>
    <row r="8" spans="1:5">
      <c r="A8" s="20" t="s">
        <v>328</v>
      </c>
      <c r="B8" s="18" t="s">
        <v>543</v>
      </c>
      <c r="D8" s="24" t="s">
        <v>328</v>
      </c>
      <c r="E8" s="34" t="s">
        <v>331</v>
      </c>
    </row>
    <row r="9" spans="1:5" ht="27">
      <c r="A9" s="20" t="s">
        <v>326</v>
      </c>
      <c r="B9" s="21" t="s">
        <v>327</v>
      </c>
      <c r="D9" s="24" t="s">
        <v>296</v>
      </c>
      <c r="E9" s="28" t="s">
        <v>297</v>
      </c>
    </row>
    <row r="10" spans="1:5">
      <c r="A10" s="20" t="s">
        <v>296</v>
      </c>
      <c r="B10" s="18" t="s">
        <v>297</v>
      </c>
      <c r="D10" s="24" t="s">
        <v>236</v>
      </c>
      <c r="E10" s="27" t="s">
        <v>553</v>
      </c>
    </row>
    <row r="11" spans="1:5">
      <c r="A11" s="20" t="s">
        <v>236</v>
      </c>
      <c r="B11" s="18" t="s">
        <v>237</v>
      </c>
      <c r="D11" s="24" t="s">
        <v>236</v>
      </c>
      <c r="E11" s="28" t="s">
        <v>250</v>
      </c>
    </row>
    <row r="12" spans="1:5">
      <c r="A12" s="20" t="s">
        <v>236</v>
      </c>
      <c r="B12" s="18" t="s">
        <v>250</v>
      </c>
      <c r="D12" s="24" t="s">
        <v>236</v>
      </c>
      <c r="E12" s="34" t="s">
        <v>263</v>
      </c>
    </row>
    <row r="13" spans="1:5">
      <c r="A13" s="20" t="s">
        <v>206</v>
      </c>
      <c r="B13" s="18" t="s">
        <v>226</v>
      </c>
      <c r="D13" s="24" t="s">
        <v>236</v>
      </c>
      <c r="E13" s="34" t="s">
        <v>244</v>
      </c>
    </row>
    <row r="14" spans="1:5">
      <c r="A14" s="20" t="s">
        <v>206</v>
      </c>
      <c r="B14" s="18" t="s">
        <v>540</v>
      </c>
      <c r="D14" s="24" t="s">
        <v>206</v>
      </c>
      <c r="E14" s="27" t="s">
        <v>226</v>
      </c>
    </row>
    <row r="15" spans="1:5">
      <c r="A15" s="22" t="s">
        <v>196</v>
      </c>
      <c r="B15" s="22" t="s">
        <v>197</v>
      </c>
      <c r="D15" s="24" t="s">
        <v>206</v>
      </c>
      <c r="E15" s="28" t="s">
        <v>540</v>
      </c>
    </row>
    <row r="16" spans="1:5">
      <c r="A16" s="20" t="s">
        <v>196</v>
      </c>
      <c r="B16" s="21" t="s">
        <v>199</v>
      </c>
      <c r="D16" s="24" t="s">
        <v>196</v>
      </c>
      <c r="E16" s="30" t="s">
        <v>197</v>
      </c>
    </row>
    <row r="17" spans="1:5">
      <c r="A17" s="20" t="s">
        <v>196</v>
      </c>
      <c r="B17" s="21" t="s">
        <v>197</v>
      </c>
      <c r="D17" s="24" t="s">
        <v>196</v>
      </c>
      <c r="E17" s="25" t="s">
        <v>197</v>
      </c>
    </row>
    <row r="18" spans="1:5">
      <c r="A18" s="20" t="s">
        <v>191</v>
      </c>
      <c r="B18" s="21" t="s">
        <v>192</v>
      </c>
      <c r="D18" s="24" t="s">
        <v>196</v>
      </c>
      <c r="E18" s="34" t="s">
        <v>198</v>
      </c>
    </row>
    <row r="19" spans="1:5">
      <c r="A19" s="20" t="s">
        <v>183</v>
      </c>
      <c r="B19" s="18" t="s">
        <v>538</v>
      </c>
      <c r="D19" s="24" t="s">
        <v>183</v>
      </c>
      <c r="E19" s="36" t="s">
        <v>538</v>
      </c>
    </row>
    <row r="20" spans="1:5">
      <c r="A20" s="20" t="s">
        <v>183</v>
      </c>
      <c r="B20" s="18" t="s">
        <v>539</v>
      </c>
      <c r="D20" s="24" t="s">
        <v>183</v>
      </c>
      <c r="E20" s="37" t="s">
        <v>539</v>
      </c>
    </row>
    <row r="21" spans="1:5">
      <c r="A21" s="20" t="s">
        <v>154</v>
      </c>
      <c r="B21" s="18" t="s">
        <v>537</v>
      </c>
      <c r="D21" s="24" t="s">
        <v>154</v>
      </c>
      <c r="E21" s="36" t="s">
        <v>537</v>
      </c>
    </row>
    <row r="22" spans="1:5">
      <c r="A22" s="20" t="s">
        <v>125</v>
      </c>
      <c r="B22" s="18" t="s">
        <v>541</v>
      </c>
      <c r="D22" s="24" t="s">
        <v>154</v>
      </c>
      <c r="E22" s="34" t="s">
        <v>164</v>
      </c>
    </row>
    <row r="23" spans="1:5">
      <c r="A23" s="20" t="s">
        <v>112</v>
      </c>
      <c r="B23" s="21" t="s">
        <v>113</v>
      </c>
      <c r="D23" s="24" t="s">
        <v>154</v>
      </c>
      <c r="E23" s="34" t="s">
        <v>180</v>
      </c>
    </row>
    <row r="24" spans="1:5">
      <c r="A24" s="20" t="s">
        <v>546</v>
      </c>
      <c r="B24" s="22" t="s">
        <v>110</v>
      </c>
      <c r="D24" s="24" t="s">
        <v>112</v>
      </c>
      <c r="E24" s="29" t="s">
        <v>113</v>
      </c>
    </row>
    <row r="25" spans="1:5">
      <c r="A25" s="20" t="s">
        <v>106</v>
      </c>
      <c r="B25" s="18" t="s">
        <v>107</v>
      </c>
      <c r="D25" s="24" t="s">
        <v>112</v>
      </c>
      <c r="E25" s="34" t="s">
        <v>554</v>
      </c>
    </row>
    <row r="26" spans="1:5">
      <c r="A26" s="20" t="s">
        <v>80</v>
      </c>
      <c r="B26" s="21" t="s">
        <v>81</v>
      </c>
      <c r="D26" s="24" t="s">
        <v>546</v>
      </c>
      <c r="E26" t="s">
        <v>109</v>
      </c>
    </row>
    <row r="27" spans="1:5">
      <c r="A27" s="20" t="s">
        <v>70</v>
      </c>
      <c r="B27" s="18" t="s">
        <v>542</v>
      </c>
      <c r="D27" s="24" t="s">
        <v>106</v>
      </c>
      <c r="E27" s="27" t="s">
        <v>107</v>
      </c>
    </row>
    <row r="28" spans="1:5">
      <c r="A28" s="20" t="s">
        <v>65</v>
      </c>
      <c r="B28" s="21" t="s">
        <v>66</v>
      </c>
      <c r="D28" s="24" t="s">
        <v>80</v>
      </c>
      <c r="E28" s="25" t="s">
        <v>81</v>
      </c>
    </row>
    <row r="29" spans="1:5">
      <c r="A29" s="20" t="s">
        <v>62</v>
      </c>
      <c r="B29" s="21" t="s">
        <v>63</v>
      </c>
      <c r="D29" s="31" t="s">
        <v>80</v>
      </c>
      <c r="E29" s="39" t="s">
        <v>85</v>
      </c>
    </row>
    <row r="30" spans="1:5">
      <c r="A30" s="20" t="s">
        <v>52</v>
      </c>
      <c r="B30" s="21" t="s">
        <v>53</v>
      </c>
      <c r="D30" s="31" t="s">
        <v>80</v>
      </c>
      <c r="E30" t="s">
        <v>83</v>
      </c>
    </row>
    <row r="31" spans="1:5">
      <c r="A31" s="20" t="s">
        <v>27</v>
      </c>
      <c r="B31" s="18" t="s">
        <v>31</v>
      </c>
      <c r="D31" s="31" t="s">
        <v>80</v>
      </c>
      <c r="E31" t="s">
        <v>88</v>
      </c>
    </row>
    <row r="32" spans="1:5">
      <c r="A32" s="20" t="s">
        <v>27</v>
      </c>
      <c r="B32" s="18" t="s">
        <v>28</v>
      </c>
      <c r="D32" s="31" t="s">
        <v>70</v>
      </c>
      <c r="E32" s="36" t="s">
        <v>542</v>
      </c>
    </row>
    <row r="33" spans="1:5">
      <c r="A33" s="20" t="s">
        <v>27</v>
      </c>
      <c r="B33" s="18" t="s">
        <v>35</v>
      </c>
      <c r="D33" s="31" t="s">
        <v>65</v>
      </c>
      <c r="E33" t="s">
        <v>67</v>
      </c>
    </row>
    <row r="34" spans="1:5">
      <c r="A34" s="20" t="s">
        <v>27</v>
      </c>
      <c r="B34" s="18" t="s">
        <v>33</v>
      </c>
      <c r="D34" s="31" t="s">
        <v>65</v>
      </c>
      <c r="E34" t="s">
        <v>66</v>
      </c>
    </row>
    <row r="35" spans="1:5">
      <c r="A35" s="23" t="s">
        <v>19</v>
      </c>
      <c r="B35" s="18" t="s">
        <v>20</v>
      </c>
      <c r="D35" s="31" t="s">
        <v>52</v>
      </c>
      <c r="E35" s="35" t="s">
        <v>53</v>
      </c>
    </row>
    <row r="36" spans="1:5">
      <c r="A36" s="20" t="s">
        <v>10</v>
      </c>
      <c r="B36" s="18" t="s">
        <v>11</v>
      </c>
      <c r="D36" s="31" t="s">
        <v>27</v>
      </c>
      <c r="E36" t="s">
        <v>50</v>
      </c>
    </row>
    <row r="37" spans="1:5">
      <c r="D37" s="31" t="s">
        <v>27</v>
      </c>
      <c r="E37" s="36" t="s">
        <v>31</v>
      </c>
    </row>
    <row r="38" spans="1:5">
      <c r="D38" s="31" t="s">
        <v>27</v>
      </c>
      <c r="E38" s="36" t="s">
        <v>555</v>
      </c>
    </row>
    <row r="39" spans="1:5">
      <c r="D39" s="31" t="s">
        <v>27</v>
      </c>
      <c r="E39" s="37" t="s">
        <v>33</v>
      </c>
    </row>
    <row r="40" spans="1:5">
      <c r="D40" s="31" t="s">
        <v>186</v>
      </c>
      <c r="E40" s="31" t="s">
        <v>186</v>
      </c>
    </row>
    <row r="41" spans="1:5">
      <c r="D41" s="31" t="s">
        <v>19</v>
      </c>
      <c r="E41" s="36" t="s">
        <v>20</v>
      </c>
    </row>
    <row r="42" spans="1:5">
      <c r="D42" s="24" t="s">
        <v>19</v>
      </c>
      <c r="E42" t="s">
        <v>23</v>
      </c>
    </row>
    <row r="43" spans="1:5">
      <c r="D43" s="31" t="s">
        <v>19</v>
      </c>
      <c r="E43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5F25-E749-43EF-908F-4D7FD83F3E55}">
  <dimension ref="A1:J111"/>
  <sheetViews>
    <sheetView zoomScale="115" zoomScaleNormal="115" workbookViewId="0">
      <selection activeCell="D39" sqref="D39"/>
    </sheetView>
  </sheetViews>
  <sheetFormatPr defaultRowHeight="16.5"/>
  <cols>
    <col min="1" max="1" width="9.25" bestFit="1" customWidth="1"/>
    <col min="2" max="2" width="11.625" bestFit="1" customWidth="1"/>
    <col min="3" max="3" width="24.875" bestFit="1" customWidth="1"/>
    <col min="4" max="4" width="14.125" bestFit="1" customWidth="1"/>
    <col min="5" max="5" width="9.625" bestFit="1" customWidth="1"/>
    <col min="6" max="6" width="15.125" bestFit="1" customWidth="1"/>
    <col min="7" max="7" width="8.25" bestFit="1" customWidth="1"/>
    <col min="8" max="8" width="41" bestFit="1" customWidth="1"/>
    <col min="9" max="9" width="11.25" bestFit="1" customWidth="1"/>
    <col min="10" max="10" width="6.75" bestFit="1" customWidth="1"/>
  </cols>
  <sheetData>
    <row r="1" spans="1:10">
      <c r="A1" s="4" t="s">
        <v>345</v>
      </c>
      <c r="B1" s="4" t="s">
        <v>346</v>
      </c>
      <c r="C1" s="5" t="s">
        <v>347</v>
      </c>
      <c r="D1" s="4" t="s">
        <v>348</v>
      </c>
      <c r="E1" s="4" t="s">
        <v>349</v>
      </c>
      <c r="F1" s="4" t="s">
        <v>350</v>
      </c>
      <c r="G1" s="1" t="s">
        <v>547</v>
      </c>
      <c r="H1" s="4" t="s">
        <v>351</v>
      </c>
      <c r="I1" s="53" t="s">
        <v>352</v>
      </c>
      <c r="J1" t="s">
        <v>544</v>
      </c>
    </row>
    <row r="2" spans="1:10">
      <c r="A2" s="10" t="s">
        <v>353</v>
      </c>
      <c r="B2" s="10" t="s">
        <v>354</v>
      </c>
      <c r="C2" s="11" t="s">
        <v>355</v>
      </c>
      <c r="D2" s="15">
        <v>0.74439999999999995</v>
      </c>
      <c r="E2" s="15">
        <v>4.8999999999999998E-3</v>
      </c>
      <c r="F2" s="15">
        <v>0.36809999999999998</v>
      </c>
      <c r="G2" s="38">
        <f>표1_38[[#This Row],[test PR-AUC]]-$F$2</f>
        <v>0</v>
      </c>
      <c r="H2" s="11" t="s">
        <v>556</v>
      </c>
      <c r="I2" s="54">
        <v>168</v>
      </c>
      <c r="J2" s="38"/>
    </row>
    <row r="3" spans="1:10">
      <c r="A3" s="10" t="s">
        <v>357</v>
      </c>
      <c r="B3" s="10" t="s">
        <v>353</v>
      </c>
      <c r="C3" s="11" t="s">
        <v>557</v>
      </c>
      <c r="D3" s="14">
        <v>0.74439999999999995</v>
      </c>
      <c r="E3" s="14">
        <v>4.8999999999999998E-3</v>
      </c>
      <c r="F3" s="14">
        <v>0.36799999999999999</v>
      </c>
      <c r="G3" s="38">
        <f>표1_38[[#This Row],[test PR-AUC]]-$F$2</f>
        <v>-9.9999999999988987E-5</v>
      </c>
      <c r="H3" s="11" t="s">
        <v>571</v>
      </c>
      <c r="I3" s="54">
        <v>167</v>
      </c>
      <c r="J3" s="38"/>
    </row>
    <row r="4" spans="1:10">
      <c r="A4" s="10" t="s">
        <v>359</v>
      </c>
      <c r="B4" s="10" t="s">
        <v>357</v>
      </c>
      <c r="C4" s="11" t="s">
        <v>535</v>
      </c>
      <c r="D4" s="14">
        <v>0.74480000000000002</v>
      </c>
      <c r="E4" s="14">
        <v>5.4999999999999997E-3</v>
      </c>
      <c r="F4" s="14">
        <v>0.36990000000000001</v>
      </c>
      <c r="G4" s="38">
        <f>표1_38[[#This Row],[test PR-AUC]]-$F$2</f>
        <v>1.8000000000000238E-3</v>
      </c>
      <c r="H4" s="13" t="s">
        <v>562</v>
      </c>
      <c r="I4" s="54">
        <v>166</v>
      </c>
      <c r="J4" s="38"/>
    </row>
    <row r="5" spans="1:10">
      <c r="A5" s="10" t="s">
        <v>362</v>
      </c>
      <c r="B5" s="10" t="s">
        <v>359</v>
      </c>
      <c r="C5" s="11" t="s">
        <v>558</v>
      </c>
      <c r="D5" s="14">
        <v>0.74360000000000004</v>
      </c>
      <c r="E5" s="14">
        <v>4.5999999999999999E-3</v>
      </c>
      <c r="F5" s="14">
        <v>0.36969999999999997</v>
      </c>
      <c r="G5" s="38">
        <f>표1_38[[#This Row],[test PR-AUC]]-$F$2</f>
        <v>1.5999999999999903E-3</v>
      </c>
      <c r="H5" s="11" t="s">
        <v>563</v>
      </c>
      <c r="I5" s="54">
        <v>165</v>
      </c>
      <c r="J5" s="38"/>
    </row>
    <row r="6" spans="1:10">
      <c r="A6" s="10" t="s">
        <v>365</v>
      </c>
      <c r="B6" s="10" t="s">
        <v>362</v>
      </c>
      <c r="C6" s="11" t="s">
        <v>559</v>
      </c>
      <c r="D6" s="14">
        <v>0.74319999999999997</v>
      </c>
      <c r="E6" s="14">
        <v>5.7999999999999996E-3</v>
      </c>
      <c r="F6" s="14">
        <v>0.36830000000000002</v>
      </c>
      <c r="G6" s="38">
        <f>표1_38[[#This Row],[test PR-AUC]]-$F$2</f>
        <v>2.0000000000003348E-4</v>
      </c>
      <c r="H6" s="13"/>
      <c r="I6" s="54">
        <v>164</v>
      </c>
      <c r="J6" s="38"/>
    </row>
    <row r="7" spans="1:10">
      <c r="A7" s="10" t="s">
        <v>368</v>
      </c>
      <c r="B7" s="10" t="s">
        <v>365</v>
      </c>
      <c r="C7" s="11" t="s">
        <v>560</v>
      </c>
      <c r="D7" s="14">
        <v>0.74319999999999997</v>
      </c>
      <c r="E7" s="14">
        <v>5.7999999999999996E-3</v>
      </c>
      <c r="F7" s="14">
        <v>0.36840000000000001</v>
      </c>
      <c r="G7" s="38">
        <f>표1_38[[#This Row],[test PR-AUC]]-$F$2</f>
        <v>3.0000000000002247E-4</v>
      </c>
      <c r="H7" s="13"/>
      <c r="I7" s="54">
        <v>163</v>
      </c>
      <c r="J7" s="38"/>
    </row>
    <row r="8" spans="1:10">
      <c r="A8" s="10" t="s">
        <v>372</v>
      </c>
      <c r="B8" s="10" t="s">
        <v>368</v>
      </c>
      <c r="C8" s="11" t="s">
        <v>561</v>
      </c>
      <c r="D8" s="14">
        <v>0.73660000000000003</v>
      </c>
      <c r="E8" s="14">
        <v>5.8999999999999999E-3</v>
      </c>
      <c r="F8" s="14">
        <v>0.3644</v>
      </c>
      <c r="G8" s="38">
        <f>표1_38[[#This Row],[test PR-AUC]]-$F$2</f>
        <v>-3.6999999999999811E-3</v>
      </c>
      <c r="H8" s="13"/>
      <c r="I8" s="54">
        <v>162</v>
      </c>
      <c r="J8" s="38"/>
    </row>
    <row r="9" spans="1:10">
      <c r="A9" s="10" t="s">
        <v>375</v>
      </c>
      <c r="B9" s="10" t="s">
        <v>372</v>
      </c>
      <c r="C9" s="11" t="s">
        <v>564</v>
      </c>
      <c r="D9" s="14">
        <v>0.73240000000000005</v>
      </c>
      <c r="E9" s="14">
        <v>5.4000000000000003E-3</v>
      </c>
      <c r="F9" s="14">
        <v>0.35820000000000002</v>
      </c>
      <c r="G9" s="38">
        <f>표1_38[[#This Row],[test PR-AUC]]-$F$2</f>
        <v>-9.8999999999999644E-3</v>
      </c>
      <c r="H9" s="13"/>
      <c r="I9" s="54">
        <v>161</v>
      </c>
      <c r="J9" s="38"/>
    </row>
    <row r="10" spans="1:10">
      <c r="A10" s="10" t="s">
        <v>378</v>
      </c>
      <c r="B10" s="10" t="s">
        <v>375</v>
      </c>
      <c r="C10" s="11" t="s">
        <v>565</v>
      </c>
      <c r="D10" s="14">
        <v>0.7218</v>
      </c>
      <c r="E10" s="14">
        <v>6.1999999999999998E-3</v>
      </c>
      <c r="F10" s="14">
        <v>0.36209999999999998</v>
      </c>
      <c r="G10" s="38">
        <f>표1_38[[#This Row],[test PR-AUC]]-$F$2</f>
        <v>-6.0000000000000053E-3</v>
      </c>
      <c r="H10" s="13"/>
      <c r="I10" s="54">
        <v>160</v>
      </c>
      <c r="J10" s="38"/>
    </row>
    <row r="11" spans="1:10">
      <c r="A11" s="10" t="s">
        <v>381</v>
      </c>
      <c r="B11" s="10" t="s">
        <v>378</v>
      </c>
      <c r="C11" s="11" t="s">
        <v>566</v>
      </c>
      <c r="D11" s="14">
        <v>0.72099999999999997</v>
      </c>
      <c r="E11" s="14">
        <v>8.0000000000000002E-3</v>
      </c>
      <c r="F11" s="14">
        <v>0.3634</v>
      </c>
      <c r="G11" s="38">
        <f>표1_38[[#This Row],[test PR-AUC]]-$F$2</f>
        <v>-4.699999999999982E-3</v>
      </c>
      <c r="H11" s="13"/>
      <c r="I11" s="54">
        <v>159</v>
      </c>
      <c r="J11" s="38"/>
    </row>
    <row r="12" spans="1:10">
      <c r="A12" s="10" t="s">
        <v>384</v>
      </c>
      <c r="B12" s="10" t="s">
        <v>381</v>
      </c>
      <c r="C12" s="11" t="s">
        <v>555</v>
      </c>
      <c r="D12" s="14">
        <v>0.71840000000000004</v>
      </c>
      <c r="E12" s="14">
        <v>7.9000000000000008E-3</v>
      </c>
      <c r="F12" s="14">
        <v>0.35060000000000002</v>
      </c>
      <c r="G12" s="38">
        <f>표1_38[[#This Row],[test PR-AUC]]-$F$2</f>
        <v>-1.749999999999996E-2</v>
      </c>
      <c r="H12" s="11"/>
      <c r="I12" s="54">
        <v>158</v>
      </c>
      <c r="J12" s="38"/>
    </row>
    <row r="13" spans="1:10">
      <c r="A13" s="10" t="s">
        <v>387</v>
      </c>
      <c r="B13" s="10" t="s">
        <v>384</v>
      </c>
      <c r="C13" s="11" t="s">
        <v>567</v>
      </c>
      <c r="D13" s="14">
        <v>0.65159999999999996</v>
      </c>
      <c r="E13" s="14">
        <v>8.5000000000000006E-3</v>
      </c>
      <c r="F13" s="14">
        <v>0.2888</v>
      </c>
      <c r="G13" s="38">
        <f>표1_38[[#This Row],[test PR-AUC]]-$F$2</f>
        <v>-7.9299999999999982E-2</v>
      </c>
      <c r="H13" s="12"/>
      <c r="I13" s="54">
        <v>157</v>
      </c>
      <c r="J13" s="38"/>
    </row>
    <row r="14" spans="1:10">
      <c r="A14" s="10" t="s">
        <v>388</v>
      </c>
      <c r="B14" s="10" t="s">
        <v>387</v>
      </c>
      <c r="C14" s="11" t="s">
        <v>568</v>
      </c>
      <c r="D14" s="14">
        <v>0.65129999999999999</v>
      </c>
      <c r="E14" s="14">
        <v>9.2999999999999992E-3</v>
      </c>
      <c r="F14" s="14">
        <v>0.28999999999999998</v>
      </c>
      <c r="G14" s="38">
        <f>표1_38[[#This Row],[test PR-AUC]]-$F$2</f>
        <v>-7.8100000000000003E-2</v>
      </c>
      <c r="H14" s="12"/>
      <c r="I14" s="54">
        <v>156</v>
      </c>
      <c r="J14" s="38"/>
    </row>
    <row r="15" spans="1:10">
      <c r="A15" s="10" t="s">
        <v>391</v>
      </c>
      <c r="B15" s="10" t="s">
        <v>388</v>
      </c>
      <c r="C15" s="12" t="s">
        <v>569</v>
      </c>
      <c r="D15" s="14">
        <v>0.63580000000000003</v>
      </c>
      <c r="E15" s="14">
        <v>9.1000000000000004E-3</v>
      </c>
      <c r="F15" s="14">
        <v>0.2843</v>
      </c>
      <c r="G15" s="38">
        <f>표1_38[[#This Row],[test PR-AUC]]-$F$2</f>
        <v>-8.3799999999999986E-2</v>
      </c>
      <c r="H15" s="12"/>
      <c r="I15" s="54">
        <v>155</v>
      </c>
      <c r="J15" s="38"/>
    </row>
    <row r="16" spans="1:10">
      <c r="A16" s="10" t="s">
        <v>392</v>
      </c>
      <c r="B16" s="10" t="s">
        <v>391</v>
      </c>
      <c r="C16" s="12" t="s">
        <v>570</v>
      </c>
      <c r="D16" s="14">
        <v>0.63639999999999997</v>
      </c>
      <c r="E16" s="14">
        <v>8.2000000000000007E-3</v>
      </c>
      <c r="F16" s="14">
        <v>0.28589999999999999</v>
      </c>
      <c r="G16" s="38">
        <f>표1_38[[#This Row],[test PR-AUC]]-$F$2</f>
        <v>-8.2199999999999995E-2</v>
      </c>
      <c r="H16" s="12"/>
      <c r="I16" s="54">
        <v>154</v>
      </c>
      <c r="J16" s="38"/>
    </row>
    <row r="17" spans="1:10">
      <c r="A17" s="10" t="s">
        <v>393</v>
      </c>
      <c r="B17" s="10" t="s">
        <v>392</v>
      </c>
      <c r="C17" s="12" t="s">
        <v>572</v>
      </c>
      <c r="D17" s="14">
        <v>0.63670000000000004</v>
      </c>
      <c r="E17" s="14">
        <v>8.0999999999999996E-3</v>
      </c>
      <c r="F17" s="14">
        <v>0.28720000000000001</v>
      </c>
      <c r="G17" s="38">
        <f>표1_38[[#This Row],[test PR-AUC]]-$F$2</f>
        <v>-8.0899999999999972E-2</v>
      </c>
      <c r="H17" s="12"/>
      <c r="I17" s="54">
        <v>153</v>
      </c>
      <c r="J17" s="38"/>
    </row>
    <row r="18" spans="1:10">
      <c r="A18" s="10" t="s">
        <v>394</v>
      </c>
      <c r="B18" s="10" t="s">
        <v>393</v>
      </c>
      <c r="C18" s="12" t="s">
        <v>573</v>
      </c>
      <c r="D18" s="14">
        <v>0.60840000000000005</v>
      </c>
      <c r="E18" s="14">
        <v>8.3000000000000001E-3</v>
      </c>
      <c r="F18" s="14">
        <v>0.25669999999999998</v>
      </c>
      <c r="G18" s="38">
        <f>표1_38[[#This Row],[test PR-AUC]]-$F$2</f>
        <v>-0.1114</v>
      </c>
      <c r="H18" s="12"/>
      <c r="I18" s="54">
        <v>152</v>
      </c>
      <c r="J18" s="38"/>
    </row>
    <row r="19" spans="1:10">
      <c r="A19" s="10" t="s">
        <v>395</v>
      </c>
      <c r="B19" s="10" t="s">
        <v>394</v>
      </c>
      <c r="C19" s="12" t="s">
        <v>574</v>
      </c>
      <c r="D19" s="14">
        <v>0.6079</v>
      </c>
      <c r="E19" s="14">
        <v>8.8999999999999999E-3</v>
      </c>
      <c r="F19" s="14">
        <v>0.25669999999999998</v>
      </c>
      <c r="G19" s="38">
        <f>표1_38[[#This Row],[test PR-AUC]]-$F$2</f>
        <v>-0.1114</v>
      </c>
      <c r="H19" s="12"/>
      <c r="I19" s="54">
        <v>151</v>
      </c>
      <c r="J19" s="38"/>
    </row>
    <row r="20" spans="1:10">
      <c r="A20" s="10" t="s">
        <v>396</v>
      </c>
      <c r="B20" s="10" t="s">
        <v>395</v>
      </c>
      <c r="C20" s="12" t="s">
        <v>575</v>
      </c>
      <c r="D20" s="14">
        <v>0.60699999999999998</v>
      </c>
      <c r="E20" s="14">
        <v>6.8999999999999999E-3</v>
      </c>
      <c r="F20" s="14">
        <v>0.25340000000000001</v>
      </c>
      <c r="G20" s="38">
        <f>표1_38[[#This Row],[test PR-AUC]]-$F$2</f>
        <v>-0.11469999999999997</v>
      </c>
      <c r="H20" s="12"/>
      <c r="I20" s="54">
        <v>150</v>
      </c>
      <c r="J20" s="38"/>
    </row>
    <row r="21" spans="1:10">
      <c r="A21" s="10" t="s">
        <v>397</v>
      </c>
      <c r="B21" s="10" t="s">
        <v>396</v>
      </c>
      <c r="C21" s="12" t="s">
        <v>576</v>
      </c>
      <c r="D21" s="14">
        <v>0.60519999999999996</v>
      </c>
      <c r="E21" s="14">
        <v>8.5000000000000006E-3</v>
      </c>
      <c r="F21" s="14">
        <v>0.253</v>
      </c>
      <c r="G21" s="38">
        <f>표1_38[[#This Row],[test PR-AUC]]-$F$2</f>
        <v>-0.11509999999999998</v>
      </c>
      <c r="H21" s="12"/>
      <c r="I21" s="54">
        <v>149</v>
      </c>
      <c r="J21" s="38"/>
    </row>
    <row r="22" spans="1:10">
      <c r="A22" s="10" t="s">
        <v>398</v>
      </c>
      <c r="B22" s="10" t="s">
        <v>397</v>
      </c>
      <c r="C22" s="12" t="s">
        <v>577</v>
      </c>
      <c r="D22" s="14">
        <v>0.59950000000000003</v>
      </c>
      <c r="E22" s="14">
        <v>6.7999999999999996E-3</v>
      </c>
      <c r="F22" s="14">
        <v>0.25059999999999999</v>
      </c>
      <c r="G22" s="38">
        <f>표1_38[[#This Row],[test PR-AUC]]-$F$2</f>
        <v>-0.11749999999999999</v>
      </c>
      <c r="H22" s="12"/>
      <c r="I22" s="54">
        <v>148</v>
      </c>
      <c r="J22" s="38"/>
    </row>
    <row r="23" spans="1:10">
      <c r="A23" s="10" t="s">
        <v>408</v>
      </c>
      <c r="B23" s="10" t="s">
        <v>398</v>
      </c>
      <c r="C23" s="12" t="s">
        <v>578</v>
      </c>
      <c r="D23" s="14">
        <v>0.57189999999999996</v>
      </c>
      <c r="E23" s="14">
        <v>9.1999999999999998E-3</v>
      </c>
      <c r="F23" s="14">
        <v>0.2351</v>
      </c>
      <c r="G23" s="38">
        <f>표1_38[[#This Row],[test PR-AUC]]-$F$2</f>
        <v>-0.13299999999999998</v>
      </c>
      <c r="H23" s="12"/>
      <c r="I23" s="54">
        <v>147</v>
      </c>
      <c r="J23" s="38"/>
    </row>
    <row r="24" spans="1:10">
      <c r="A24" s="10" t="s">
        <v>409</v>
      </c>
      <c r="B24" s="10" t="s">
        <v>408</v>
      </c>
      <c r="C24" s="12" t="s">
        <v>579</v>
      </c>
      <c r="D24" s="14">
        <v>0.54949999999999999</v>
      </c>
      <c r="E24" s="14">
        <v>6.4000000000000003E-3</v>
      </c>
      <c r="F24" s="14">
        <v>0.20780000000000001</v>
      </c>
      <c r="G24" s="38">
        <f>표1_38[[#This Row],[test PR-AUC]]-$F$2</f>
        <v>-0.16029999999999997</v>
      </c>
      <c r="H24" s="12"/>
      <c r="I24" s="54">
        <v>146</v>
      </c>
      <c r="J24" s="38"/>
    </row>
    <row r="25" spans="1:10">
      <c r="A25" s="10" t="s">
        <v>410</v>
      </c>
      <c r="B25" s="10" t="s">
        <v>409</v>
      </c>
      <c r="C25" s="12" t="s">
        <v>580</v>
      </c>
      <c r="D25" s="14">
        <v>0.54059999999999997</v>
      </c>
      <c r="E25" s="14">
        <v>6.7999999999999996E-3</v>
      </c>
      <c r="F25" s="14">
        <v>0.20960000000000001</v>
      </c>
      <c r="G25" s="38">
        <f>표1_38[[#This Row],[test PR-AUC]]-$F$2</f>
        <v>-0.15849999999999997</v>
      </c>
      <c r="H25" s="12"/>
      <c r="I25" s="54">
        <v>145</v>
      </c>
      <c r="J25" s="38"/>
    </row>
    <row r="26" spans="1:10">
      <c r="A26" s="10" t="s">
        <v>411</v>
      </c>
      <c r="B26" s="10" t="s">
        <v>410</v>
      </c>
      <c r="C26" s="12" t="s">
        <v>581</v>
      </c>
      <c r="D26" s="14">
        <v>0.51270000000000004</v>
      </c>
      <c r="E26" s="14">
        <v>7.1000000000000004E-3</v>
      </c>
      <c r="F26" s="14">
        <v>0.1792</v>
      </c>
      <c r="G26" s="38">
        <f>표1_38[[#This Row],[test PR-AUC]]-$F$2</f>
        <v>-0.18889999999999998</v>
      </c>
      <c r="H26" s="12"/>
      <c r="I26" s="54">
        <v>144</v>
      </c>
      <c r="J26" s="38"/>
    </row>
    <row r="27" spans="1:10">
      <c r="A27" s="10" t="s">
        <v>412</v>
      </c>
      <c r="B27" s="10" t="s">
        <v>411</v>
      </c>
      <c r="C27" s="12" t="s">
        <v>582</v>
      </c>
      <c r="D27" s="14">
        <v>0.50339999999999996</v>
      </c>
      <c r="E27" s="14">
        <v>5.5999999999999999E-3</v>
      </c>
      <c r="F27" s="14">
        <v>0.1706</v>
      </c>
      <c r="G27" s="38">
        <f>표1_38[[#This Row],[test PR-AUC]]-$F$2</f>
        <v>-0.19749999999999998</v>
      </c>
      <c r="H27" s="12"/>
      <c r="I27" s="54">
        <v>143</v>
      </c>
      <c r="J27" s="38"/>
    </row>
    <row r="28" spans="1:10">
      <c r="A28" s="10" t="s">
        <v>413</v>
      </c>
      <c r="B28" s="10" t="s">
        <v>412</v>
      </c>
      <c r="C28" s="12" t="s">
        <v>583</v>
      </c>
      <c r="D28" s="14">
        <v>0.50509999999999999</v>
      </c>
      <c r="E28" s="14">
        <v>8.0000000000000002E-3</v>
      </c>
      <c r="F28" s="14">
        <v>0.1699</v>
      </c>
      <c r="G28" s="38">
        <f>표1_38[[#This Row],[test PR-AUC]]-$F$2</f>
        <v>-0.19819999999999999</v>
      </c>
      <c r="H28" s="12"/>
      <c r="I28" s="54">
        <v>142</v>
      </c>
      <c r="J28" s="38"/>
    </row>
    <row r="29" spans="1:10">
      <c r="A29" s="10" t="s">
        <v>414</v>
      </c>
      <c r="B29" s="10" t="s">
        <v>413</v>
      </c>
      <c r="C29" s="12" t="s">
        <v>584</v>
      </c>
      <c r="D29" s="14">
        <v>0.48880000000000001</v>
      </c>
      <c r="E29" s="14">
        <v>5.7000000000000002E-3</v>
      </c>
      <c r="F29" s="14">
        <v>0.14630000000000001</v>
      </c>
      <c r="G29" s="38">
        <f>표1_38[[#This Row],[test PR-AUC]]-$F$2</f>
        <v>-0.22179999999999997</v>
      </c>
      <c r="H29" s="12"/>
      <c r="I29" s="54">
        <v>141</v>
      </c>
      <c r="J29" s="38"/>
    </row>
    <row r="30" spans="1:10">
      <c r="A30" s="10" t="s">
        <v>415</v>
      </c>
      <c r="B30" s="10" t="s">
        <v>414</v>
      </c>
      <c r="C30" s="12" t="s">
        <v>585</v>
      </c>
      <c r="D30" s="14">
        <v>0.48470000000000002</v>
      </c>
      <c r="E30" s="14">
        <v>5.7999999999999996E-3</v>
      </c>
      <c r="F30" s="14">
        <v>0.14680000000000001</v>
      </c>
      <c r="G30" s="38">
        <f>표1_38[[#This Row],[test PR-AUC]]-$F$2</f>
        <v>-0.22129999999999997</v>
      </c>
      <c r="H30" s="12"/>
      <c r="I30" s="54">
        <v>140</v>
      </c>
      <c r="J30" s="38"/>
    </row>
    <row r="31" spans="1:10">
      <c r="A31" s="10" t="s">
        <v>416</v>
      </c>
      <c r="B31" s="10" t="s">
        <v>415</v>
      </c>
      <c r="C31" s="16" t="s">
        <v>586</v>
      </c>
      <c r="D31" s="14">
        <v>0.47039999999999998</v>
      </c>
      <c r="E31" s="14">
        <v>8.3000000000000001E-3</v>
      </c>
      <c r="F31" s="14">
        <v>0.13719999999999999</v>
      </c>
      <c r="G31" s="38">
        <f>표1_38[[#This Row],[test PR-AUC]]-$F$2</f>
        <v>-0.23089999999999999</v>
      </c>
      <c r="H31" s="12"/>
      <c r="I31" s="54">
        <v>139</v>
      </c>
      <c r="J31" s="38"/>
    </row>
    <row r="32" spans="1:10">
      <c r="A32" s="10"/>
      <c r="B32" s="10"/>
      <c r="C32" s="17"/>
      <c r="D32" s="14"/>
      <c r="E32" s="14"/>
      <c r="F32" s="14"/>
      <c r="G32" s="38"/>
      <c r="H32" s="12"/>
      <c r="I32" s="54"/>
      <c r="J32" s="38"/>
    </row>
    <row r="33" spans="1:10">
      <c r="A33" s="10"/>
      <c r="B33" s="10"/>
      <c r="C33" s="17"/>
      <c r="D33" s="14"/>
      <c r="E33" s="14"/>
      <c r="F33" s="14"/>
      <c r="G33" s="38"/>
      <c r="H33" s="12"/>
      <c r="I33" s="54"/>
      <c r="J33" s="38"/>
    </row>
    <row r="34" spans="1:10">
      <c r="A34" s="10"/>
      <c r="B34" s="10"/>
      <c r="C34" s="17"/>
      <c r="D34" s="14"/>
      <c r="E34" s="14"/>
      <c r="F34" s="14"/>
      <c r="G34" s="38"/>
      <c r="H34" s="12"/>
      <c r="I34" s="54"/>
      <c r="J34" s="38"/>
    </row>
    <row r="35" spans="1:10">
      <c r="A35" s="10"/>
      <c r="B35" s="10"/>
      <c r="C35" s="17"/>
      <c r="D35" s="14"/>
      <c r="E35" s="14"/>
      <c r="F35" s="14"/>
      <c r="G35" s="38"/>
      <c r="H35" s="12"/>
      <c r="I35" s="54"/>
      <c r="J35" s="38"/>
    </row>
    <row r="36" spans="1:10">
      <c r="A36" s="10"/>
      <c r="B36" s="10"/>
      <c r="C36" s="17"/>
      <c r="D36" s="14"/>
      <c r="E36" s="14"/>
      <c r="F36" s="14"/>
      <c r="G36" s="38"/>
      <c r="H36" s="12"/>
      <c r="I36" s="54"/>
      <c r="J36" s="38"/>
    </row>
    <row r="37" spans="1:10">
      <c r="A37" s="10"/>
      <c r="B37" s="10"/>
      <c r="C37" s="17"/>
      <c r="D37" s="14"/>
      <c r="E37" s="14"/>
      <c r="F37" s="14"/>
      <c r="G37" s="38"/>
      <c r="H37" s="12"/>
      <c r="I37" s="54"/>
      <c r="J37" s="38"/>
    </row>
    <row r="38" spans="1:10">
      <c r="A38" s="10"/>
      <c r="B38" s="10"/>
      <c r="C38" s="12"/>
      <c r="D38" s="14"/>
      <c r="E38" s="14"/>
      <c r="F38" s="14"/>
      <c r="G38" s="38"/>
      <c r="H38" s="12"/>
      <c r="I38" s="54"/>
      <c r="J38" s="38"/>
    </row>
    <row r="39" spans="1:10">
      <c r="A39" s="10"/>
      <c r="B39" s="10"/>
      <c r="C39" s="12"/>
      <c r="D39" s="14"/>
      <c r="E39" s="14"/>
      <c r="F39" s="14"/>
      <c r="G39" s="38"/>
      <c r="H39" s="12"/>
      <c r="I39" s="54"/>
      <c r="J39" s="38"/>
    </row>
    <row r="40" spans="1:10">
      <c r="A40" s="10"/>
      <c r="B40" s="10"/>
      <c r="C40" s="12"/>
      <c r="D40" s="13"/>
      <c r="E40" s="13"/>
      <c r="F40" s="13"/>
      <c r="G40" s="38"/>
      <c r="H40" s="13"/>
      <c r="I40" s="54"/>
      <c r="J40" s="38"/>
    </row>
    <row r="41" spans="1:10">
      <c r="A41" s="10"/>
      <c r="B41" s="10"/>
      <c r="C41" s="12"/>
      <c r="D41" s="13"/>
      <c r="E41" s="13"/>
      <c r="F41" s="13"/>
      <c r="G41" s="38"/>
      <c r="H41" s="13"/>
      <c r="I41" s="54"/>
      <c r="J41" s="38"/>
    </row>
    <row r="42" spans="1:10">
      <c r="A42" s="10"/>
      <c r="B42" s="10"/>
      <c r="C42" s="12"/>
      <c r="D42" s="13"/>
      <c r="E42" s="13"/>
      <c r="F42" s="13"/>
      <c r="G42" s="38"/>
      <c r="H42" s="13"/>
      <c r="I42" s="54"/>
      <c r="J42" s="38"/>
    </row>
    <row r="43" spans="1:10">
      <c r="A43" s="10"/>
      <c r="B43" s="13"/>
      <c r="C43" s="12"/>
      <c r="D43" s="13"/>
      <c r="E43" s="13"/>
      <c r="F43" s="13"/>
      <c r="G43" s="38"/>
      <c r="H43" s="13"/>
      <c r="I43" s="55"/>
      <c r="J43" s="38"/>
    </row>
    <row r="44" spans="1:10">
      <c r="A44" s="10"/>
      <c r="B44" s="13"/>
      <c r="C44" s="12"/>
      <c r="D44" s="13"/>
      <c r="E44" s="13"/>
      <c r="F44" s="13"/>
      <c r="G44" s="38"/>
      <c r="H44" s="13"/>
      <c r="I44" s="55"/>
      <c r="J44" s="38"/>
    </row>
    <row r="45" spans="1:10">
      <c r="A45" s="10"/>
      <c r="B45" s="13"/>
      <c r="C45" s="12"/>
      <c r="D45" s="13"/>
      <c r="E45" s="13"/>
      <c r="F45" s="13"/>
      <c r="G45" s="38"/>
      <c r="H45" s="13"/>
      <c r="I45" s="55"/>
      <c r="J45" s="38"/>
    </row>
    <row r="46" spans="1:10">
      <c r="A46" s="10"/>
      <c r="B46" s="13"/>
      <c r="C46" s="12"/>
      <c r="D46" s="13"/>
      <c r="E46" s="13"/>
      <c r="F46" s="13"/>
      <c r="G46" s="38"/>
      <c r="H46" s="13"/>
      <c r="I46" s="55"/>
      <c r="J46" s="38"/>
    </row>
    <row r="47" spans="1:10">
      <c r="A47" s="10"/>
      <c r="B47" s="13"/>
      <c r="C47" s="12"/>
      <c r="D47" s="13"/>
      <c r="E47" s="13"/>
      <c r="F47" s="13"/>
      <c r="G47" s="38"/>
      <c r="H47" s="13"/>
      <c r="I47" s="55"/>
      <c r="J47" s="38"/>
    </row>
    <row r="48" spans="1:10">
      <c r="A48" s="10"/>
      <c r="B48" s="13"/>
      <c r="C48" s="12"/>
      <c r="D48" s="13"/>
      <c r="E48" s="13"/>
      <c r="F48" s="13"/>
      <c r="G48" s="38"/>
      <c r="H48" s="13"/>
      <c r="I48" s="55"/>
      <c r="J48" s="38"/>
    </row>
    <row r="49" spans="1:10">
      <c r="A49" s="10"/>
      <c r="B49" s="13"/>
      <c r="C49" s="12"/>
      <c r="D49" s="13"/>
      <c r="E49" s="13"/>
      <c r="F49" s="13"/>
      <c r="G49" s="38"/>
      <c r="H49" s="13"/>
      <c r="I49" s="55"/>
      <c r="J49" s="38"/>
    </row>
    <row r="50" spans="1:10">
      <c r="A50" s="10"/>
      <c r="B50" s="13"/>
      <c r="C50" s="12"/>
      <c r="D50" s="13"/>
      <c r="E50" s="13"/>
      <c r="F50" s="13"/>
      <c r="G50" s="38"/>
      <c r="H50" s="13"/>
      <c r="I50" s="55"/>
      <c r="J50" s="38"/>
    </row>
    <row r="51" spans="1:10">
      <c r="A51" s="10"/>
      <c r="B51" s="13"/>
      <c r="C51" s="12"/>
      <c r="D51" s="13"/>
      <c r="E51" s="13"/>
      <c r="F51" s="13"/>
      <c r="G51" s="38"/>
      <c r="H51" s="13"/>
      <c r="I51" s="55"/>
      <c r="J51" s="38"/>
    </row>
    <row r="52" spans="1:10">
      <c r="A52" s="10"/>
      <c r="B52" s="13"/>
      <c r="C52" s="12"/>
      <c r="D52" s="13"/>
      <c r="E52" s="13"/>
      <c r="F52" s="13"/>
      <c r="G52" s="38"/>
      <c r="H52" s="13"/>
      <c r="I52" s="55"/>
      <c r="J52" s="38"/>
    </row>
    <row r="53" spans="1:10">
      <c r="A53" s="10"/>
      <c r="B53" s="13"/>
      <c r="C53" s="12"/>
      <c r="D53" s="13"/>
      <c r="E53" s="13"/>
      <c r="F53" s="13"/>
      <c r="G53" s="38"/>
      <c r="H53" s="13"/>
      <c r="I53" s="55"/>
      <c r="J53" s="38"/>
    </row>
    <row r="54" spans="1:10">
      <c r="A54" s="10"/>
      <c r="B54" s="13"/>
      <c r="C54" s="12"/>
      <c r="D54" s="13"/>
      <c r="E54" s="13"/>
      <c r="F54" s="13"/>
      <c r="G54" s="38"/>
      <c r="H54" s="13"/>
      <c r="I54" s="55"/>
      <c r="J54" s="38"/>
    </row>
    <row r="55" spans="1:10">
      <c r="A55" s="10"/>
      <c r="B55" s="13"/>
      <c r="C55" s="12"/>
      <c r="D55" s="13"/>
      <c r="E55" s="13"/>
      <c r="F55" s="13"/>
      <c r="G55" s="38"/>
      <c r="H55" s="13"/>
      <c r="I55" s="55"/>
      <c r="J55" s="38"/>
    </row>
    <row r="56" spans="1:10">
      <c r="A56" s="10"/>
      <c r="B56" s="13"/>
      <c r="C56" s="12"/>
      <c r="D56" s="13"/>
      <c r="E56" s="13"/>
      <c r="F56" s="13"/>
      <c r="G56" s="38"/>
      <c r="H56" s="13"/>
      <c r="I56" s="55"/>
      <c r="J56" s="38"/>
    </row>
    <row r="57" spans="1:10">
      <c r="A57" s="10"/>
      <c r="B57" s="13"/>
      <c r="C57" s="12"/>
      <c r="D57" s="13"/>
      <c r="E57" s="13"/>
      <c r="F57" s="13"/>
      <c r="G57" s="38"/>
      <c r="H57" s="13"/>
      <c r="I57" s="55"/>
      <c r="J57" s="38"/>
    </row>
    <row r="58" spans="1:10">
      <c r="A58" s="10"/>
      <c r="B58" s="13"/>
      <c r="C58" s="12"/>
      <c r="D58" s="13"/>
      <c r="E58" s="13"/>
      <c r="F58" s="13"/>
      <c r="G58" s="38"/>
      <c r="H58" s="13"/>
      <c r="I58" s="55"/>
      <c r="J58" s="38"/>
    </row>
    <row r="59" spans="1:10">
      <c r="A59" s="10"/>
      <c r="B59" s="13"/>
      <c r="C59" s="12"/>
      <c r="D59" s="13"/>
      <c r="E59" s="13"/>
      <c r="F59" s="13"/>
      <c r="G59" s="38"/>
      <c r="H59" s="13"/>
      <c r="I59" s="55"/>
      <c r="J59" s="38"/>
    </row>
    <row r="60" spans="1:10">
      <c r="A60" s="10"/>
      <c r="B60" s="13"/>
      <c r="C60" s="12"/>
      <c r="D60" s="13"/>
      <c r="E60" s="13"/>
      <c r="F60" s="13"/>
      <c r="G60" s="38"/>
      <c r="H60" s="13"/>
      <c r="I60" s="55"/>
      <c r="J60" s="38"/>
    </row>
    <row r="61" spans="1:10">
      <c r="A61" s="10"/>
      <c r="B61" s="13"/>
      <c r="C61" s="12"/>
      <c r="D61" s="13"/>
      <c r="E61" s="13"/>
      <c r="F61" s="13"/>
      <c r="G61" s="38"/>
      <c r="H61" s="13"/>
      <c r="I61" s="55"/>
      <c r="J61" s="38"/>
    </row>
    <row r="62" spans="1:10">
      <c r="A62" s="10"/>
      <c r="B62" s="13"/>
      <c r="C62" s="12"/>
      <c r="D62" s="13"/>
      <c r="E62" s="13"/>
      <c r="F62" s="13"/>
      <c r="G62" s="38"/>
      <c r="H62" s="13"/>
      <c r="I62" s="55"/>
      <c r="J62" s="38"/>
    </row>
    <row r="63" spans="1:10">
      <c r="A63" s="10"/>
      <c r="B63" s="13"/>
      <c r="C63" s="12"/>
      <c r="D63" s="13"/>
      <c r="E63" s="13"/>
      <c r="F63" s="13"/>
      <c r="G63" s="38"/>
      <c r="H63" s="13"/>
      <c r="I63" s="55"/>
      <c r="J63" s="38"/>
    </row>
    <row r="64" spans="1:10">
      <c r="A64" s="10"/>
      <c r="B64" s="13"/>
      <c r="C64" s="12"/>
      <c r="D64" s="13"/>
      <c r="E64" s="13"/>
      <c r="F64" s="13"/>
      <c r="G64" s="38"/>
      <c r="H64" s="13"/>
      <c r="I64" s="55"/>
      <c r="J64" s="38"/>
    </row>
    <row r="65" spans="1:10">
      <c r="A65" s="10"/>
      <c r="B65" s="13"/>
      <c r="C65" s="12"/>
      <c r="D65" s="13"/>
      <c r="E65" s="13"/>
      <c r="F65" s="13"/>
      <c r="G65" s="38"/>
      <c r="H65" s="13"/>
      <c r="I65" s="55"/>
      <c r="J65" s="38"/>
    </row>
    <row r="66" spans="1:10">
      <c r="A66" s="10"/>
      <c r="B66" s="13"/>
      <c r="C66" s="12"/>
      <c r="D66" s="13"/>
      <c r="E66" s="13"/>
      <c r="F66" s="13"/>
      <c r="G66" s="38"/>
      <c r="H66" s="13"/>
      <c r="I66" s="55"/>
      <c r="J66" s="38"/>
    </row>
    <row r="67" spans="1:10">
      <c r="A67" s="10"/>
      <c r="B67" s="13"/>
      <c r="C67" s="12"/>
      <c r="D67" s="13"/>
      <c r="E67" s="13"/>
      <c r="F67" s="13"/>
      <c r="G67" s="38"/>
      <c r="H67" s="13"/>
      <c r="I67" s="55"/>
      <c r="J67" s="38"/>
    </row>
    <row r="68" spans="1:10">
      <c r="A68" s="10"/>
      <c r="B68" s="13"/>
      <c r="C68" s="12"/>
      <c r="D68" s="13"/>
      <c r="E68" s="13"/>
      <c r="F68" s="13"/>
      <c r="G68" s="38"/>
      <c r="H68" s="13"/>
      <c r="I68" s="55"/>
      <c r="J68" s="38"/>
    </row>
    <row r="69" spans="1:10">
      <c r="A69" s="10"/>
      <c r="B69" s="13"/>
      <c r="C69" s="12"/>
      <c r="D69" s="13"/>
      <c r="E69" s="13"/>
      <c r="F69" s="13"/>
      <c r="G69" s="38"/>
      <c r="H69" s="13"/>
      <c r="I69" s="55"/>
      <c r="J69" s="38"/>
    </row>
    <row r="70" spans="1:10">
      <c r="A70" s="10"/>
      <c r="B70" s="13"/>
      <c r="C70" s="12"/>
      <c r="D70" s="13"/>
      <c r="E70" s="13"/>
      <c r="F70" s="13"/>
      <c r="G70" s="38"/>
      <c r="H70" s="13"/>
      <c r="I70" s="55"/>
      <c r="J70" s="38"/>
    </row>
    <row r="71" spans="1:10">
      <c r="A71" s="10"/>
      <c r="B71" s="13"/>
      <c r="C71" s="12"/>
      <c r="D71" s="13"/>
      <c r="E71" s="13"/>
      <c r="F71" s="13"/>
      <c r="G71" s="38"/>
      <c r="H71" s="13"/>
      <c r="I71" s="55"/>
      <c r="J71" s="38"/>
    </row>
    <row r="72" spans="1:10">
      <c r="A72" s="10"/>
      <c r="B72" s="13"/>
      <c r="C72" s="12"/>
      <c r="D72" s="13"/>
      <c r="E72" s="13"/>
      <c r="F72" s="13"/>
      <c r="G72" s="38"/>
      <c r="H72" s="13"/>
      <c r="I72" s="55"/>
      <c r="J72" s="38"/>
    </row>
    <row r="73" spans="1:10">
      <c r="A73" s="10"/>
      <c r="B73" s="13"/>
      <c r="C73" s="12"/>
      <c r="D73" s="13"/>
      <c r="E73" s="13"/>
      <c r="F73" s="13"/>
      <c r="G73" s="38"/>
      <c r="H73" s="13"/>
      <c r="I73" s="55"/>
      <c r="J73" s="38"/>
    </row>
    <row r="74" spans="1:10">
      <c r="A74" s="10"/>
      <c r="B74" s="13"/>
      <c r="C74" s="12"/>
      <c r="D74" s="13"/>
      <c r="E74" s="13"/>
      <c r="F74" s="13"/>
      <c r="G74" s="38"/>
      <c r="H74" s="13"/>
      <c r="I74" s="55"/>
      <c r="J74" s="38"/>
    </row>
    <row r="75" spans="1:10">
      <c r="A75" s="10"/>
      <c r="B75" s="13"/>
      <c r="C75" s="12"/>
      <c r="D75" s="13"/>
      <c r="E75" s="13"/>
      <c r="F75" s="13"/>
      <c r="G75" s="38"/>
      <c r="H75" s="13"/>
      <c r="I75" s="55"/>
      <c r="J75" s="38"/>
    </row>
    <row r="76" spans="1:10">
      <c r="A76" s="10"/>
      <c r="B76" s="13"/>
      <c r="C76" s="12"/>
      <c r="D76" s="13"/>
      <c r="E76" s="13"/>
      <c r="F76" s="13"/>
      <c r="G76" s="38"/>
      <c r="H76" s="13"/>
      <c r="I76" s="55"/>
      <c r="J76" s="38"/>
    </row>
    <row r="77" spans="1:10">
      <c r="A77" s="10"/>
      <c r="B77" s="13"/>
      <c r="C77" s="12"/>
      <c r="D77" s="13"/>
      <c r="E77" s="13"/>
      <c r="F77" s="13"/>
      <c r="G77" s="38"/>
      <c r="H77" s="13"/>
      <c r="I77" s="55"/>
      <c r="J77" s="38"/>
    </row>
    <row r="78" spans="1:10">
      <c r="A78" s="10"/>
      <c r="B78" s="13"/>
      <c r="C78" s="12"/>
      <c r="D78" s="13"/>
      <c r="E78" s="13"/>
      <c r="F78" s="13"/>
      <c r="G78" s="38"/>
      <c r="H78" s="13"/>
      <c r="I78" s="55"/>
      <c r="J78" s="38"/>
    </row>
    <row r="79" spans="1:10">
      <c r="A79" s="10"/>
      <c r="B79" s="13"/>
      <c r="C79" s="12"/>
      <c r="D79" s="13"/>
      <c r="E79" s="13"/>
      <c r="F79" s="13"/>
      <c r="G79" s="38"/>
      <c r="H79" s="13"/>
      <c r="I79" s="55"/>
      <c r="J79" s="38"/>
    </row>
    <row r="80" spans="1:10">
      <c r="A80" s="10"/>
      <c r="B80" s="13"/>
      <c r="C80" s="12"/>
      <c r="D80" s="13"/>
      <c r="E80" s="13"/>
      <c r="F80" s="13"/>
      <c r="G80" s="38"/>
      <c r="H80" s="13"/>
      <c r="I80" s="55"/>
      <c r="J80" s="38"/>
    </row>
    <row r="81" spans="1:10">
      <c r="A81" s="10"/>
      <c r="B81" s="13"/>
      <c r="C81" s="12"/>
      <c r="D81" s="13"/>
      <c r="E81" s="13"/>
      <c r="F81" s="13"/>
      <c r="G81" s="38"/>
      <c r="H81" s="13"/>
      <c r="I81" s="55"/>
      <c r="J81" s="38"/>
    </row>
    <row r="82" spans="1:10">
      <c r="A82" s="10"/>
      <c r="B82" s="13"/>
      <c r="C82" s="12"/>
      <c r="D82" s="13"/>
      <c r="E82" s="13"/>
      <c r="F82" s="13"/>
      <c r="G82" s="38"/>
      <c r="H82" s="13"/>
      <c r="I82" s="55"/>
      <c r="J82" s="38"/>
    </row>
    <row r="83" spans="1:10">
      <c r="A83" s="10"/>
      <c r="B83" s="13"/>
      <c r="C83" s="12"/>
      <c r="D83" s="13"/>
      <c r="E83" s="13"/>
      <c r="F83" s="13"/>
      <c r="G83" s="38"/>
      <c r="H83" s="13"/>
      <c r="I83" s="55"/>
      <c r="J83" s="38"/>
    </row>
    <row r="84" spans="1:10">
      <c r="A84" s="10"/>
      <c r="B84" s="13"/>
      <c r="C84" s="12"/>
      <c r="D84" s="13"/>
      <c r="E84" s="13"/>
      <c r="F84" s="13"/>
      <c r="G84" s="38"/>
      <c r="H84" s="13"/>
      <c r="I84" s="55"/>
      <c r="J84" s="38"/>
    </row>
    <row r="85" spans="1:10">
      <c r="A85" s="10"/>
      <c r="B85" s="13"/>
      <c r="C85" s="12"/>
      <c r="D85" s="13"/>
      <c r="E85" s="13"/>
      <c r="F85" s="13"/>
      <c r="G85" s="38"/>
      <c r="H85" s="13"/>
      <c r="I85" s="55"/>
      <c r="J85" s="38"/>
    </row>
    <row r="86" spans="1:10">
      <c r="A86" s="10"/>
      <c r="B86" s="13"/>
      <c r="C86" s="12"/>
      <c r="D86" s="13"/>
      <c r="E86" s="13"/>
      <c r="F86" s="13"/>
      <c r="G86" s="38"/>
      <c r="H86" s="13"/>
      <c r="I86" s="55"/>
      <c r="J86" s="38"/>
    </row>
    <row r="87" spans="1:10">
      <c r="A87" s="10"/>
      <c r="B87" s="13"/>
      <c r="C87" s="12"/>
      <c r="D87" s="13"/>
      <c r="E87" s="13"/>
      <c r="F87" s="13"/>
      <c r="G87" s="38"/>
      <c r="H87" s="13"/>
      <c r="I87" s="55"/>
      <c r="J87" s="38"/>
    </row>
    <row r="88" spans="1:10">
      <c r="A88" s="10"/>
      <c r="B88" s="13"/>
      <c r="C88" s="12"/>
      <c r="D88" s="13"/>
      <c r="E88" s="13"/>
      <c r="F88" s="13"/>
      <c r="G88" s="38"/>
      <c r="H88" s="13"/>
      <c r="I88" s="55"/>
      <c r="J88" s="38"/>
    </row>
    <row r="89" spans="1:10">
      <c r="A89" s="10"/>
      <c r="B89" s="13"/>
      <c r="C89" s="12"/>
      <c r="D89" s="13"/>
      <c r="E89" s="13"/>
      <c r="F89" s="13"/>
      <c r="G89" s="38"/>
      <c r="H89" s="13"/>
      <c r="I89" s="55"/>
      <c r="J89" s="38"/>
    </row>
    <row r="90" spans="1:10">
      <c r="A90" s="10"/>
      <c r="B90" s="13"/>
      <c r="C90" s="12"/>
      <c r="D90" s="13"/>
      <c r="E90" s="13"/>
      <c r="F90" s="13"/>
      <c r="G90" s="38"/>
      <c r="H90" s="13"/>
      <c r="I90" s="55"/>
      <c r="J90" s="38"/>
    </row>
    <row r="91" spans="1:10">
      <c r="A91" s="10"/>
      <c r="B91" s="13"/>
      <c r="C91" s="12"/>
      <c r="D91" s="13"/>
      <c r="E91" s="13"/>
      <c r="F91" s="13"/>
      <c r="G91" s="38"/>
      <c r="H91" s="13"/>
      <c r="I91" s="55"/>
      <c r="J91" s="38"/>
    </row>
    <row r="92" spans="1:10">
      <c r="A92" s="10"/>
      <c r="B92" s="13"/>
      <c r="C92" s="12"/>
      <c r="D92" s="13"/>
      <c r="E92" s="13"/>
      <c r="F92" s="13"/>
      <c r="G92" s="38"/>
      <c r="H92" s="13"/>
      <c r="I92" s="55"/>
      <c r="J92" s="38"/>
    </row>
    <row r="93" spans="1:10">
      <c r="A93" s="10"/>
      <c r="B93" s="13"/>
      <c r="C93" s="12"/>
      <c r="D93" s="13"/>
      <c r="E93" s="13"/>
      <c r="F93" s="13"/>
      <c r="G93" s="38"/>
      <c r="H93" s="13"/>
      <c r="I93" s="55"/>
      <c r="J93" s="38"/>
    </row>
    <row r="94" spans="1:10">
      <c r="A94" s="10"/>
      <c r="B94" s="13"/>
      <c r="C94" s="12"/>
      <c r="D94" s="13"/>
      <c r="E94" s="13"/>
      <c r="F94" s="13"/>
      <c r="G94" s="38"/>
      <c r="H94" s="13"/>
      <c r="I94" s="55"/>
      <c r="J94" s="38"/>
    </row>
    <row r="95" spans="1:10">
      <c r="A95" s="10"/>
      <c r="B95" s="13"/>
      <c r="C95" s="12"/>
      <c r="D95" s="13"/>
      <c r="E95" s="13"/>
      <c r="F95" s="13"/>
      <c r="G95" s="38"/>
      <c r="H95" s="13"/>
      <c r="I95" s="55"/>
      <c r="J95" s="38"/>
    </row>
    <row r="96" spans="1:10">
      <c r="A96" s="10"/>
      <c r="B96" s="13"/>
      <c r="C96" s="12"/>
      <c r="D96" s="13"/>
      <c r="E96" s="13"/>
      <c r="F96" s="13"/>
      <c r="G96" s="38"/>
      <c r="H96" s="13"/>
      <c r="I96" s="55"/>
      <c r="J96" s="38"/>
    </row>
    <row r="97" spans="1:10">
      <c r="A97" s="10"/>
      <c r="B97" s="13"/>
      <c r="C97" s="12"/>
      <c r="D97" s="13"/>
      <c r="E97" s="13"/>
      <c r="F97" s="13"/>
      <c r="G97" s="38"/>
      <c r="H97" s="13"/>
      <c r="I97" s="55"/>
      <c r="J97" s="38"/>
    </row>
    <row r="98" spans="1:10">
      <c r="A98" s="10"/>
      <c r="B98" s="13"/>
      <c r="C98" s="12"/>
      <c r="D98" s="13"/>
      <c r="E98" s="13"/>
      <c r="F98" s="13"/>
      <c r="G98" s="38"/>
      <c r="H98" s="13"/>
      <c r="I98" s="55"/>
      <c r="J98" s="38"/>
    </row>
    <row r="99" spans="1:10">
      <c r="A99" s="10"/>
      <c r="B99" s="13"/>
      <c r="C99" s="12"/>
      <c r="D99" s="13"/>
      <c r="E99" s="13"/>
      <c r="F99" s="13"/>
      <c r="G99" s="38"/>
      <c r="H99" s="13"/>
      <c r="I99" s="55"/>
      <c r="J99" s="38"/>
    </row>
    <row r="100" spans="1:10">
      <c r="A100" s="10"/>
      <c r="B100" s="13"/>
      <c r="C100" s="12"/>
      <c r="D100" s="13"/>
      <c r="E100" s="13"/>
      <c r="F100" s="13"/>
      <c r="G100" s="38"/>
      <c r="H100" s="13"/>
      <c r="I100" s="55"/>
      <c r="J100" s="38"/>
    </row>
    <row r="101" spans="1:10">
      <c r="A101" s="10"/>
      <c r="B101" s="13"/>
      <c r="C101" s="12"/>
      <c r="D101" s="13"/>
      <c r="E101" s="13"/>
      <c r="F101" s="13"/>
      <c r="G101" s="38"/>
      <c r="H101" s="13"/>
      <c r="I101" s="55"/>
      <c r="J101" s="38"/>
    </row>
    <row r="102" spans="1:10">
      <c r="A102" s="10"/>
      <c r="B102" s="13"/>
      <c r="C102" s="12"/>
      <c r="D102" s="13"/>
      <c r="E102" s="13"/>
      <c r="F102" s="13"/>
      <c r="G102" s="38"/>
      <c r="H102" s="13"/>
      <c r="I102" s="55"/>
      <c r="J102" s="38"/>
    </row>
    <row r="103" spans="1:10">
      <c r="A103" s="10"/>
      <c r="B103" s="13"/>
      <c r="C103" s="12"/>
      <c r="D103" s="13"/>
      <c r="E103" s="13"/>
      <c r="F103" s="13"/>
      <c r="G103" s="38"/>
      <c r="H103" s="13"/>
      <c r="I103" s="55"/>
      <c r="J103" s="38"/>
    </row>
    <row r="104" spans="1:10">
      <c r="A104" s="10"/>
      <c r="B104" s="13"/>
      <c r="C104" s="12"/>
      <c r="D104" s="13"/>
      <c r="E104" s="13"/>
      <c r="F104" s="13"/>
      <c r="G104" s="38"/>
      <c r="H104" s="13"/>
      <c r="I104" s="55"/>
      <c r="J104" s="38"/>
    </row>
    <row r="105" spans="1:10">
      <c r="A105" s="10"/>
      <c r="B105" s="13"/>
      <c r="C105" s="12"/>
      <c r="D105" s="13"/>
      <c r="E105" s="13"/>
      <c r="F105" s="13"/>
      <c r="G105" s="38"/>
      <c r="H105" s="13"/>
      <c r="I105" s="55"/>
      <c r="J105" s="38"/>
    </row>
    <row r="106" spans="1:10">
      <c r="A106" s="10"/>
      <c r="B106" s="13"/>
      <c r="C106" s="12"/>
      <c r="D106" s="13"/>
      <c r="E106" s="13"/>
      <c r="F106" s="13"/>
      <c r="G106" s="38"/>
      <c r="H106" s="13"/>
      <c r="I106" s="55"/>
      <c r="J106" s="38"/>
    </row>
    <row r="107" spans="1:10">
      <c r="A107" s="10"/>
      <c r="B107" s="13"/>
      <c r="C107" s="12"/>
      <c r="D107" s="13"/>
      <c r="E107" s="13"/>
      <c r="F107" s="13"/>
      <c r="G107" s="38"/>
      <c r="H107" s="13"/>
      <c r="I107" s="55"/>
      <c r="J107" s="38"/>
    </row>
    <row r="108" spans="1:10">
      <c r="A108" s="10"/>
      <c r="B108" s="13"/>
      <c r="C108" s="12"/>
      <c r="D108" s="13"/>
      <c r="E108" s="13"/>
      <c r="F108" s="13"/>
      <c r="G108" s="38"/>
      <c r="H108" s="13"/>
      <c r="I108" s="55"/>
      <c r="J108" s="38"/>
    </row>
    <row r="109" spans="1:10">
      <c r="A109" s="10"/>
      <c r="B109" s="13"/>
      <c r="C109" s="12"/>
      <c r="D109" s="13"/>
      <c r="E109" s="13"/>
      <c r="F109" s="13"/>
      <c r="G109" s="38"/>
      <c r="H109" s="13"/>
      <c r="I109" s="55"/>
      <c r="J109" s="38"/>
    </row>
    <row r="110" spans="1:10">
      <c r="A110" s="10"/>
      <c r="B110" s="13"/>
      <c r="C110" s="12"/>
      <c r="D110" s="13"/>
      <c r="E110" s="13"/>
      <c r="F110" s="13"/>
      <c r="G110" s="38"/>
      <c r="H110" s="13"/>
      <c r="I110" s="55"/>
      <c r="J110" s="38"/>
    </row>
    <row r="111" spans="1:10">
      <c r="A111" s="10"/>
      <c r="B111" s="13"/>
      <c r="C111" s="12"/>
      <c r="D111" s="13"/>
      <c r="E111" s="13"/>
      <c r="F111" s="13"/>
      <c r="G111" s="38"/>
      <c r="H111" s="13"/>
      <c r="I111" s="55"/>
      <c r="J111" s="38"/>
    </row>
  </sheetData>
  <phoneticPr fontId="1" type="noConversion"/>
  <pageMargins left="0.7" right="0.7" top="0.75" bottom="0.75" header="0.3" footer="0.3"/>
  <pageSetup paperSize="9" orientation="portrait" r:id="rId1"/>
  <ignoredErrors>
    <ignoredError sqref="G2:G31" calculatedColumn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329C-F1AB-43DB-9694-7BD583FB277E}">
  <dimension ref="A1:L94"/>
  <sheetViews>
    <sheetView tabSelected="1" workbookViewId="0">
      <selection activeCell="E24" sqref="E24"/>
    </sheetView>
  </sheetViews>
  <sheetFormatPr defaultRowHeight="16.5"/>
  <cols>
    <col min="1" max="1" width="6.5" customWidth="1"/>
    <col min="2" max="2" width="23.125" bestFit="1" customWidth="1"/>
    <col min="3" max="3" width="35.375" bestFit="1" customWidth="1"/>
    <col min="4" max="4" width="9.25" bestFit="1" customWidth="1"/>
    <col min="5" max="5" width="11.625" bestFit="1" customWidth="1"/>
    <col min="6" max="6" width="14" bestFit="1" customWidth="1"/>
    <col min="7" max="7" width="14.125" bestFit="1" customWidth="1"/>
    <col min="8" max="8" width="9.625" bestFit="1" customWidth="1"/>
    <col min="9" max="9" width="15.125" bestFit="1" customWidth="1"/>
    <col min="10" max="10" width="7.5" bestFit="1" customWidth="1"/>
    <col min="11" max="11" width="20.625" bestFit="1" customWidth="1"/>
    <col min="12" max="12" width="11.25" bestFit="1" customWidth="1"/>
  </cols>
  <sheetData>
    <row r="1" spans="1:12" ht="17.25" thickBot="1">
      <c r="A1" s="102" t="s">
        <v>842</v>
      </c>
      <c r="B1" s="102" t="s">
        <v>544</v>
      </c>
      <c r="C1" s="105" t="s">
        <v>545</v>
      </c>
      <c r="D1" s="93" t="s">
        <v>345</v>
      </c>
      <c r="E1" s="93" t="s">
        <v>593</v>
      </c>
      <c r="F1" s="93" t="s">
        <v>347</v>
      </c>
      <c r="G1" s="93" t="s">
        <v>594</v>
      </c>
      <c r="H1" s="93" t="s">
        <v>595</v>
      </c>
      <c r="I1" s="93" t="s">
        <v>596</v>
      </c>
      <c r="J1" s="94" t="s">
        <v>824</v>
      </c>
      <c r="K1" s="95" t="s">
        <v>351</v>
      </c>
      <c r="L1" s="96" t="s">
        <v>352</v>
      </c>
    </row>
    <row r="2" spans="1:12" ht="17.25" thickTop="1">
      <c r="A2" s="103">
        <v>1</v>
      </c>
      <c r="B2" s="103" t="s">
        <v>336</v>
      </c>
      <c r="C2" s="106" t="str">
        <f>_xlfn.XLOOKUP(B2,표1[feature_name],표1[설명])</f>
        <v>복구 불가 오류 최초 발생 후 경과일</v>
      </c>
      <c r="D2" s="99" t="s">
        <v>597</v>
      </c>
      <c r="E2" s="99" t="s">
        <v>598</v>
      </c>
      <c r="F2" s="99" t="s">
        <v>599</v>
      </c>
      <c r="G2" s="100">
        <v>0.75278</v>
      </c>
      <c r="H2" s="100">
        <v>5.3600000000000002E-3</v>
      </c>
      <c r="I2" s="100">
        <v>0.37454999999999999</v>
      </c>
      <c r="J2" s="92">
        <v>0</v>
      </c>
      <c r="K2" s="97" t="s">
        <v>1537</v>
      </c>
      <c r="L2" s="99">
        <v>49</v>
      </c>
    </row>
    <row r="3" spans="1:12">
      <c r="A3" s="101">
        <v>1</v>
      </c>
      <c r="B3" s="101" t="s">
        <v>35</v>
      </c>
      <c r="C3" s="77" t="str">
        <f>_xlfn.XLOOKUP(B3,표1[feature_name],표1[설명])</f>
        <v>수정 불가능한 섹터 횟수 28일 최댓값</v>
      </c>
      <c r="D3" s="99" t="s">
        <v>357</v>
      </c>
      <c r="E3" s="99" t="s">
        <v>597</v>
      </c>
      <c r="F3" s="13" t="s">
        <v>13</v>
      </c>
      <c r="G3" s="14">
        <v>0.75360000000000005</v>
      </c>
      <c r="H3" s="14">
        <v>4.6899999999999997E-3</v>
      </c>
      <c r="I3" s="14">
        <v>0.37257000000000001</v>
      </c>
      <c r="J3" s="92"/>
      <c r="K3" s="97"/>
      <c r="L3" s="99"/>
    </row>
    <row r="4" spans="1:12">
      <c r="A4" s="101">
        <v>1</v>
      </c>
      <c r="B4" s="101" t="s">
        <v>33</v>
      </c>
      <c r="C4" s="77" t="str">
        <f>_xlfn.XLOOKUP(B4,표1[feature_name],표1[설명])</f>
        <v>14일간 시간 대비 에러 밀도</v>
      </c>
      <c r="D4" s="99" t="s">
        <v>359</v>
      </c>
      <c r="E4" s="87"/>
      <c r="F4" s="87"/>
      <c r="G4" s="87"/>
      <c r="H4" s="87"/>
      <c r="I4" s="87"/>
      <c r="J4" s="98"/>
      <c r="K4" s="84"/>
      <c r="L4" s="87"/>
    </row>
    <row r="5" spans="1:12">
      <c r="A5" s="101">
        <v>1</v>
      </c>
      <c r="B5" s="101" t="s">
        <v>28</v>
      </c>
      <c r="C5" s="77" t="str">
        <f>_xlfn.XLOOKUP(B5,표1[feature_name],표1[설명])</f>
        <v>보고된 교정 불가능한 오류 횟수</v>
      </c>
      <c r="D5" s="99" t="s">
        <v>362</v>
      </c>
      <c r="E5" s="87"/>
      <c r="F5" s="99"/>
      <c r="G5" s="99"/>
      <c r="H5" s="99"/>
      <c r="I5" s="99"/>
      <c r="J5" s="98"/>
      <c r="K5" s="84"/>
      <c r="L5" s="87"/>
    </row>
    <row r="6" spans="1:12">
      <c r="A6" s="101">
        <v>1</v>
      </c>
      <c r="B6" s="101" t="s">
        <v>31</v>
      </c>
      <c r="C6" s="77" t="str">
        <f>_xlfn.XLOOKUP(B6,표1[feature_name],표1[설명])</f>
        <v>현재 보류 중인 섹터 수</v>
      </c>
      <c r="D6" s="99" t="s">
        <v>365</v>
      </c>
      <c r="E6" s="87"/>
      <c r="F6" s="87"/>
      <c r="G6" s="87"/>
      <c r="H6" s="87"/>
      <c r="I6" s="87"/>
      <c r="J6" s="98"/>
      <c r="K6" s="84"/>
      <c r="L6" s="87"/>
    </row>
    <row r="7" spans="1:12">
      <c r="A7" s="104">
        <v>2</v>
      </c>
      <c r="B7" s="104" t="s">
        <v>184</v>
      </c>
      <c r="C7" s="78" t="str">
        <f>_xlfn.XLOOKUP(B7,표1[feature_name],표1[설명])</f>
        <v>SATA 다운시프트 에러 횟수</v>
      </c>
      <c r="D7" s="99" t="s">
        <v>368</v>
      </c>
      <c r="E7" s="87"/>
      <c r="F7" s="87"/>
      <c r="G7" s="87"/>
      <c r="H7" s="87"/>
      <c r="I7" s="87"/>
      <c r="J7" s="98"/>
      <c r="K7" s="84"/>
      <c r="L7" s="87"/>
    </row>
    <row r="8" spans="1:12">
      <c r="A8" s="101">
        <v>2</v>
      </c>
      <c r="B8" s="101" t="s">
        <v>36</v>
      </c>
      <c r="C8" s="77" t="str">
        <f>_xlfn.XLOOKUP(B8,표1[feature_name],표1[설명])</f>
        <v>복구 불가 오류 28일 총합</v>
      </c>
      <c r="D8" s="99" t="s">
        <v>372</v>
      </c>
      <c r="E8" s="87"/>
      <c r="F8" s="87"/>
      <c r="G8" s="87"/>
      <c r="H8" s="87"/>
      <c r="I8" s="87"/>
      <c r="J8" s="98"/>
      <c r="K8" s="84"/>
      <c r="L8" s="87"/>
    </row>
    <row r="9" spans="1:12">
      <c r="A9" s="101">
        <v>2</v>
      </c>
      <c r="B9" s="101" t="s">
        <v>302</v>
      </c>
      <c r="C9" s="77" t="str">
        <f>_xlfn.XLOOKUP(B9,표1[feature_name],표1[설명])</f>
        <v>총 탐색 작업 28일 차분 최댓값</v>
      </c>
      <c r="D9" s="99" t="s">
        <v>375</v>
      </c>
      <c r="E9" s="87"/>
      <c r="F9" s="99" t="s">
        <v>1538</v>
      </c>
      <c r="G9" s="100">
        <v>0.75519999999999998</v>
      </c>
      <c r="H9" s="100">
        <v>3.3600000000000001E-3</v>
      </c>
      <c r="I9" s="100">
        <v>0.37179000000000001</v>
      </c>
      <c r="J9" s="98"/>
      <c r="K9" s="84"/>
      <c r="L9" s="87"/>
    </row>
    <row r="10" spans="1:12">
      <c r="A10" s="104">
        <v>2</v>
      </c>
      <c r="B10" s="104" t="s">
        <v>297</v>
      </c>
      <c r="C10" s="78" t="str">
        <f>_xlfn.XLOOKUP(B10,표1[feature_name],표1[설명])</f>
        <v>총 탐색 작업 28일 차분절대합</v>
      </c>
      <c r="D10" s="99" t="s">
        <v>378</v>
      </c>
      <c r="E10" s="87"/>
      <c r="F10" s="87"/>
      <c r="G10" s="87"/>
      <c r="H10" s="87"/>
      <c r="I10" s="87"/>
      <c r="J10" s="98"/>
      <c r="K10" s="84"/>
      <c r="L10" s="87"/>
    </row>
    <row r="11" spans="1:12">
      <c r="A11" s="101">
        <v>3</v>
      </c>
      <c r="B11" s="101" t="s">
        <v>46</v>
      </c>
      <c r="C11" s="77" t="str">
        <f>_xlfn.XLOOKUP(B11,표1[feature_name],표1[설명])</f>
        <v>핵심 5대 변수 종합 위험 점수</v>
      </c>
      <c r="D11" s="99" t="s">
        <v>381</v>
      </c>
      <c r="E11" s="87"/>
      <c r="F11" s="87"/>
      <c r="G11" s="87"/>
      <c r="H11" s="87"/>
      <c r="I11" s="87"/>
      <c r="J11" s="98"/>
      <c r="K11" s="84"/>
      <c r="L11" s="87"/>
    </row>
    <row r="12" spans="1:12">
      <c r="A12" s="104">
        <v>3</v>
      </c>
      <c r="B12" s="104" t="s">
        <v>337</v>
      </c>
      <c r="C12" s="78" t="str">
        <f>_xlfn.XLOOKUP(B12,표1[feature_name],표1[설명])</f>
        <v>재할당된 섹터 최초 발생 후 경과일</v>
      </c>
      <c r="D12" s="81"/>
    </row>
    <row r="13" spans="1:12">
      <c r="A13" s="104">
        <v>4</v>
      </c>
      <c r="B13" s="104" t="s">
        <v>330</v>
      </c>
      <c r="C13" s="78" t="str">
        <f>_xlfn.XLOOKUP(B13,표1[feature_name],표1[설명])</f>
        <v>노후도 기반 일일 작업 부하 가중치</v>
      </c>
      <c r="D13" s="81"/>
    </row>
    <row r="14" spans="1:12">
      <c r="A14" s="104">
        <v>4</v>
      </c>
      <c r="B14" s="104" t="s">
        <v>329</v>
      </c>
      <c r="C14" s="78" t="str">
        <f>_xlfn.XLOOKUP(B14,표1[feature_name],표1[설명])</f>
        <v>누적 사용 시간 대비 총 작업량 비율</v>
      </c>
      <c r="D14" s="81"/>
    </row>
    <row r="15" spans="1:12">
      <c r="A15" s="101">
        <v>4</v>
      </c>
      <c r="B15" s="101" t="s">
        <v>250</v>
      </c>
      <c r="C15" s="77" t="str">
        <f>_xlfn.XLOOKUP(B15,표1[feature_name],표1[설명])</f>
        <v>누적 읽기량 14일 차분 평균</v>
      </c>
      <c r="D15" s="81"/>
    </row>
    <row r="16" spans="1:12">
      <c r="A16" s="104">
        <v>4</v>
      </c>
      <c r="B16" s="104" t="s">
        <v>226</v>
      </c>
      <c r="C16" s="78" t="str">
        <f>_xlfn.XLOOKUP(B16,표1[feature_name],표1[설명])</f>
        <v>누적 데이터 쓰기량</v>
      </c>
      <c r="D16" s="81"/>
    </row>
    <row r="17" spans="1:4">
      <c r="A17" s="104">
        <v>4</v>
      </c>
      <c r="B17" s="104" t="s">
        <v>237</v>
      </c>
      <c r="C17" s="78" t="str">
        <f>_xlfn.XLOOKUP(B17,표1[feature_name],표1[설명])</f>
        <v>누적 데이터 읽기량</v>
      </c>
      <c r="D17" s="81"/>
    </row>
    <row r="18" spans="1:4">
      <c r="A18" s="101">
        <v>4</v>
      </c>
      <c r="B18" s="101" t="s">
        <v>107</v>
      </c>
      <c r="C18" s="77" t="str">
        <f>_xlfn.XLOOKUP(B18,표1[feature_name],표1[설명])</f>
        <v>누적 사용 시간</v>
      </c>
      <c r="D18" s="81"/>
    </row>
    <row r="19" spans="1:4">
      <c r="A19" s="104">
        <v>4</v>
      </c>
      <c r="B19" s="104" t="s">
        <v>187</v>
      </c>
      <c r="C19" s="78" t="str">
        <f>_xlfn.XLOOKUP(B19,표1[feature_name],표1[설명])</f>
        <v>쓰기량 대비 헤드 정렬 불량률</v>
      </c>
      <c r="D19" s="81"/>
    </row>
    <row r="20" spans="1:4">
      <c r="A20" s="101">
        <v>5</v>
      </c>
      <c r="B20" s="101" t="s">
        <v>13</v>
      </c>
      <c r="C20" s="77" t="str">
        <f>_xlfn.XLOOKUP(B20, 표1[feature_name],표1[설명])</f>
        <v>헤드 정렬 불량 쓰기 횟수</v>
      </c>
      <c r="D20" s="81"/>
    </row>
    <row r="21" spans="1:4">
      <c r="A21" s="101">
        <v>5</v>
      </c>
      <c r="B21" s="101" t="s">
        <v>214</v>
      </c>
      <c r="C21" s="77" t="str">
        <f>_xlfn.XLOOKUP(B21,표1[feature_name],표1[설명])</f>
        <v>누적 쓰기량 14일 차분 평균</v>
      </c>
      <c r="D21" s="81"/>
    </row>
    <row r="22" spans="1:4">
      <c r="A22" s="104">
        <v>5</v>
      </c>
      <c r="B22" s="104" t="s">
        <v>307</v>
      </c>
      <c r="C22" s="78" t="str">
        <f>_xlfn.XLOOKUP(B22,표1[feature_name],표1[설명])</f>
        <v>총 탐색 작업 1일 변화량</v>
      </c>
      <c r="D22" s="81"/>
    </row>
    <row r="23" spans="1:4">
      <c r="A23" s="104">
        <v>5</v>
      </c>
      <c r="B23" s="104" t="s">
        <v>207</v>
      </c>
      <c r="C23" s="78" t="str">
        <f>_xlfn.XLOOKUP(B23,표1[feature_name],표1[설명])</f>
        <v>누적 쓰기량 28일 차분절대합</v>
      </c>
      <c r="D23" s="81"/>
    </row>
    <row r="24" spans="1:4">
      <c r="A24" s="101">
        <v>5</v>
      </c>
      <c r="B24" s="101" t="s">
        <v>209</v>
      </c>
      <c r="C24" s="77" t="str">
        <f>_xlfn.XLOOKUP(B24,표1[feature_name],표1[설명])</f>
        <v>누적 쓰기량 1일 변화량</v>
      </c>
      <c r="D24" s="81"/>
    </row>
    <row r="25" spans="1:4">
      <c r="A25" s="104">
        <v>5</v>
      </c>
      <c r="B25" s="104" t="s">
        <v>137</v>
      </c>
      <c r="C25" s="78" t="str">
        <f>_xlfn.XLOOKUP(B25,표1[feature_name],표1[설명])</f>
        <v>기류 온도 28일 표준편차</v>
      </c>
      <c r="D25" s="81"/>
    </row>
    <row r="26" spans="1:4">
      <c r="A26" s="101">
        <v>5</v>
      </c>
      <c r="B26" s="101" t="s">
        <v>239</v>
      </c>
      <c r="C26" s="77" t="str">
        <f>_xlfn.XLOOKUP(B26,표1[feature_name],표1[설명])</f>
        <v>누적 읽기량 28일 차분절대합</v>
      </c>
      <c r="D26" s="81"/>
    </row>
    <row r="27" spans="1:4">
      <c r="A27" s="104">
        <v>5</v>
      </c>
      <c r="B27" s="104" t="s">
        <v>222</v>
      </c>
      <c r="C27" s="78" t="str">
        <f>_xlfn.XLOOKUP(B27,표1[feature_name],표1[설명])</f>
        <v>누적 쓰기량 7일 차분 최댓값</v>
      </c>
      <c r="D27" s="81"/>
    </row>
    <row r="28" spans="1:4">
      <c r="A28" s="104">
        <v>5</v>
      </c>
      <c r="B28" s="104" t="s">
        <v>314</v>
      </c>
      <c r="C28" s="78" t="str">
        <f>_xlfn.XLOOKUP(B28,표1[feature_name],표1[설명])</f>
        <v>총 탐색 작업 14일 차분 평균</v>
      </c>
      <c r="D28" s="81"/>
    </row>
    <row r="29" spans="1:4">
      <c r="A29" s="101">
        <v>5</v>
      </c>
      <c r="B29" s="101" t="s">
        <v>71</v>
      </c>
      <c r="C29" s="77" t="str">
        <f>_xlfn.XLOOKUP(B29,표1[feature_name],표1[설명])</f>
        <v>외부 충격 발생 이후 무사고 경과일</v>
      </c>
      <c r="D29" s="81"/>
    </row>
    <row r="30" spans="1:4">
      <c r="A30" s="104">
        <v>6</v>
      </c>
      <c r="B30" s="104" t="s">
        <v>126</v>
      </c>
      <c r="C30" s="78" t="str">
        <f>_xlfn.XLOOKUP(B30,표1[feature_name],표1[설명])</f>
        <v>기류 온도 28일 평균</v>
      </c>
      <c r="D30" s="81"/>
    </row>
    <row r="31" spans="1:4">
      <c r="A31" s="101">
        <v>6</v>
      </c>
      <c r="B31" s="101" t="s">
        <v>267</v>
      </c>
      <c r="C31" s="77" t="str">
        <f>_xlfn.XLOOKUP(B31,표1[feature_name],표1[설명])</f>
        <v>총 읽기 시도 7일 차분절대합</v>
      </c>
      <c r="D31" s="81"/>
    </row>
    <row r="32" spans="1:4">
      <c r="A32" s="104">
        <v>6</v>
      </c>
      <c r="B32" s="104" t="s">
        <v>165</v>
      </c>
      <c r="C32" s="78" t="str">
        <f>_xlfn.XLOOKUP(B32,표1[feature_name],표1[설명])</f>
        <v>드라이브 온도 28일 최댓값</v>
      </c>
      <c r="D32" s="81"/>
    </row>
    <row r="33" spans="1:4">
      <c r="A33" s="101">
        <v>6</v>
      </c>
      <c r="B33" s="101" t="s">
        <v>266</v>
      </c>
      <c r="C33" s="77" t="str">
        <f>_xlfn.XLOOKUP(B33,표1[feature_name],표1[설명])</f>
        <v>누적 읽기량 28일 평균증가량</v>
      </c>
      <c r="D33" s="81"/>
    </row>
    <row r="34" spans="1:4">
      <c r="A34" s="104">
        <v>6</v>
      </c>
      <c r="B34" s="104" t="s">
        <v>127</v>
      </c>
      <c r="C34" s="78" t="str">
        <f>_xlfn.XLOOKUP(B34,표1[feature_name],표1[설명])</f>
        <v>기류 온도 28일 지수가중</v>
      </c>
      <c r="D34" s="81"/>
    </row>
    <row r="35" spans="1:4">
      <c r="A35" s="101">
        <v>6</v>
      </c>
      <c r="B35" s="101" t="s">
        <v>134</v>
      </c>
      <c r="C35" s="77" t="str">
        <f>_xlfn.XLOOKUP(B35,표1[feature_name],표1[설명])</f>
        <v>기류 온도 7일 지수가중</v>
      </c>
      <c r="D35" s="81"/>
    </row>
    <row r="36" spans="1:4">
      <c r="A36" s="104">
        <v>6</v>
      </c>
      <c r="B36" s="104" t="s">
        <v>67</v>
      </c>
      <c r="C36" s="78" t="str">
        <f>_xlfn.XLOOKUP(B36,표1[feature_name],표1[설명])</f>
        <v>7일 평균 대비 당일 쓰기량 폭주 비율</v>
      </c>
      <c r="D36" s="81"/>
    </row>
    <row r="37" spans="1:4">
      <c r="A37" s="101">
        <v>6</v>
      </c>
      <c r="B37" s="101" t="s">
        <v>159</v>
      </c>
      <c r="C37" s="77" t="str">
        <f>_xlfn.XLOOKUP(B37,표1[feature_name],표1[설명])</f>
        <v>드라이브 온도 28일 Z스코어</v>
      </c>
      <c r="D37" s="81"/>
    </row>
    <row r="38" spans="1:4">
      <c r="A38" s="104">
        <v>6</v>
      </c>
      <c r="B38" s="104" t="s">
        <v>156</v>
      </c>
      <c r="C38" s="78" t="str">
        <f>_xlfn.XLOOKUP(B38,표1[feature_name],표1[설명])</f>
        <v>드라이브 온도 28일 지수가중</v>
      </c>
      <c r="D38" s="81"/>
    </row>
    <row r="39" spans="1:4">
      <c r="A39" s="101">
        <v>6</v>
      </c>
      <c r="B39" s="101" t="s">
        <v>253</v>
      </c>
      <c r="C39" s="77" t="str">
        <f>_xlfn.XLOOKUP(B39,표1[feature_name],표1[설명])</f>
        <v>총 읽기 시도 7일 차분 최댓값</v>
      </c>
      <c r="D39" s="81"/>
    </row>
    <row r="40" spans="1:4">
      <c r="A40" s="101">
        <v>6</v>
      </c>
      <c r="B40" s="101" t="s">
        <v>135</v>
      </c>
      <c r="C40" s="77" t="str">
        <f>_xlfn.XLOOKUP(B40,표1[feature_name],표1[설명])</f>
        <v>기류 온도 28일 최댓값</v>
      </c>
      <c r="D40" s="81"/>
    </row>
    <row r="41" spans="1:4">
      <c r="A41" s="104">
        <v>6</v>
      </c>
      <c r="B41" s="104" t="s">
        <v>244</v>
      </c>
      <c r="C41" s="78" t="str">
        <f>_xlfn.XLOOKUP(B41,표1[feature_name],표1[설명])</f>
        <v>총 읽기 시도 28일 차분절대합</v>
      </c>
      <c r="D41" s="81"/>
    </row>
    <row r="42" spans="1:4">
      <c r="A42" s="101">
        <v>6</v>
      </c>
      <c r="B42" s="101" t="s">
        <v>249</v>
      </c>
      <c r="C42" s="77" t="str">
        <f>_xlfn.XLOOKUP(B42,표1[feature_name],표1[설명])</f>
        <v>총 읽기 시도 28일 차분 최댓값</v>
      </c>
      <c r="D42" s="81"/>
    </row>
    <row r="43" spans="1:4">
      <c r="A43" s="101">
        <v>6</v>
      </c>
      <c r="B43" s="101" t="s">
        <v>248</v>
      </c>
      <c r="C43" s="77" t="str">
        <f>_xlfn.XLOOKUP(B43,표1[feature_name],표1[설명])</f>
        <v>총 읽기 시도 14일 차분 최댓값</v>
      </c>
      <c r="D43" s="81"/>
    </row>
    <row r="44" spans="1:4">
      <c r="A44" s="104">
        <v>6</v>
      </c>
      <c r="B44" s="104" t="s">
        <v>171</v>
      </c>
      <c r="C44" s="78" t="str">
        <f>_xlfn.XLOOKUP(B44,표1[feature_name],표1[설명])</f>
        <v>드라이브 온도 14일 편차</v>
      </c>
      <c r="D44" s="81"/>
    </row>
    <row r="45" spans="1:4">
      <c r="A45" s="104">
        <v>6</v>
      </c>
      <c r="B45" s="104" t="s">
        <v>306</v>
      </c>
      <c r="C45" s="78" t="str">
        <f>_xlfn.XLOOKUP(B45,표1[feature_name],표1[설명])</f>
        <v>총 탐색 작업 횟수</v>
      </c>
      <c r="D45" s="81"/>
    </row>
    <row r="46" spans="1:4">
      <c r="A46" s="104">
        <v>6</v>
      </c>
      <c r="B46" s="104" t="s">
        <v>155</v>
      </c>
      <c r="C46" s="78" t="str">
        <f>_xlfn.XLOOKUP(B46,표1[feature_name],표1[설명])</f>
        <v>드라이브 온도 28일 평균</v>
      </c>
      <c r="D46" s="81"/>
    </row>
    <row r="47" spans="1:4">
      <c r="A47" s="104" t="e">
        <v>#N/A</v>
      </c>
      <c r="B47" s="104" t="s">
        <v>114</v>
      </c>
      <c r="C47" s="78" t="str">
        <f>_xlfn.XLOOKUP(B47,표1[feature_name],표1[설명])</f>
        <v>전송 경로 오류 원본 값</v>
      </c>
      <c r="D47" s="81"/>
    </row>
    <row r="48" spans="1:4">
      <c r="A48" s="101" t="e">
        <v>#N/A</v>
      </c>
      <c r="B48" s="101" t="s">
        <v>262</v>
      </c>
      <c r="C48" s="77" t="str">
        <f>_xlfn.XLOOKUP(B48,표1[feature_name],표1[설명])</f>
        <v>총 읽기 시도 28일 차분 편차</v>
      </c>
      <c r="D48" s="81"/>
    </row>
    <row r="49" spans="1:4">
      <c r="A49" s="104" t="e">
        <v>#N/A</v>
      </c>
      <c r="B49" s="104" t="s">
        <v>177</v>
      </c>
      <c r="C49" s="78" t="str">
        <f>_xlfn.XLOOKUP(B49,표1[feature_name],표1[설명])</f>
        <v>드라이브 온도 7일 편차</v>
      </c>
      <c r="D49" s="81"/>
    </row>
    <row r="50" spans="1:4">
      <c r="A50" s="101" t="e">
        <v>#N/A</v>
      </c>
      <c r="B50" s="76" t="s">
        <v>161</v>
      </c>
      <c r="C50" s="77" t="str">
        <f>_xlfn.XLOOKUP(B50,표1[feature_name],표1[설명])</f>
        <v>드라이브 온도 14일 평균</v>
      </c>
      <c r="D50" s="81"/>
    </row>
    <row r="51" spans="1:4">
      <c r="C51" s="81"/>
    </row>
    <row r="52" spans="1:4">
      <c r="B52" s="83"/>
      <c r="C52" s="81"/>
    </row>
    <row r="53" spans="1:4">
      <c r="B53" s="83"/>
      <c r="C53" s="81"/>
    </row>
    <row r="54" spans="1:4">
      <c r="B54" s="83"/>
      <c r="C54" s="81"/>
    </row>
    <row r="55" spans="1:4">
      <c r="B55" s="83"/>
      <c r="C55" s="81"/>
    </row>
    <row r="56" spans="1:4">
      <c r="B56" s="83"/>
      <c r="C56" s="81"/>
    </row>
    <row r="57" spans="1:4">
      <c r="B57" s="83"/>
      <c r="C57" s="81"/>
    </row>
    <row r="58" spans="1:4">
      <c r="B58" s="83"/>
      <c r="C58" s="81"/>
    </row>
    <row r="59" spans="1:4">
      <c r="B59" s="83"/>
      <c r="C59" s="81"/>
    </row>
    <row r="60" spans="1:4">
      <c r="B60" s="83"/>
      <c r="C60" s="81"/>
    </row>
    <row r="61" spans="1:4">
      <c r="B61" s="83"/>
      <c r="C61" s="81"/>
    </row>
    <row r="62" spans="1:4">
      <c r="B62" s="83"/>
      <c r="C62" s="81"/>
    </row>
    <row r="63" spans="1:4">
      <c r="B63" s="83"/>
      <c r="C63" s="81"/>
    </row>
    <row r="64" spans="1:4">
      <c r="B64" s="83"/>
      <c r="C64" s="81"/>
    </row>
    <row r="65" spans="2:3">
      <c r="B65" s="83"/>
      <c r="C65" s="81"/>
    </row>
    <row r="66" spans="2:3">
      <c r="B66" s="83"/>
      <c r="C66" s="81"/>
    </row>
    <row r="67" spans="2:3">
      <c r="B67" s="83"/>
      <c r="C67" s="81"/>
    </row>
    <row r="68" spans="2:3">
      <c r="B68" s="83"/>
      <c r="C68" s="81"/>
    </row>
    <row r="69" spans="2:3">
      <c r="B69" s="83"/>
      <c r="C69" s="81"/>
    </row>
    <row r="70" spans="2:3">
      <c r="B70" s="83"/>
      <c r="C70" s="81"/>
    </row>
    <row r="71" spans="2:3">
      <c r="B71" s="83"/>
      <c r="C71" s="81"/>
    </row>
    <row r="72" spans="2:3">
      <c r="B72" s="83"/>
      <c r="C72" s="81"/>
    </row>
    <row r="73" spans="2:3">
      <c r="B73" s="83"/>
      <c r="C73" s="81"/>
    </row>
    <row r="74" spans="2:3">
      <c r="B74" s="83"/>
      <c r="C74" s="81"/>
    </row>
    <row r="75" spans="2:3">
      <c r="B75" s="83"/>
      <c r="C75" s="81"/>
    </row>
    <row r="76" spans="2:3">
      <c r="B76" s="83"/>
      <c r="C76" s="81"/>
    </row>
    <row r="77" spans="2:3">
      <c r="B77" s="83"/>
      <c r="C77" s="81"/>
    </row>
    <row r="78" spans="2:3">
      <c r="B78" s="83"/>
      <c r="C78" s="81"/>
    </row>
    <row r="79" spans="2:3">
      <c r="B79" s="83"/>
      <c r="C79" s="81"/>
    </row>
    <row r="80" spans="2:3">
      <c r="B80" s="83"/>
      <c r="C80" s="81"/>
    </row>
    <row r="81" spans="2:3">
      <c r="B81" s="83"/>
      <c r="C81" s="81"/>
    </row>
    <row r="82" spans="2:3">
      <c r="B82" s="83"/>
      <c r="C82" s="81"/>
    </row>
    <row r="83" spans="2:3">
      <c r="B83" s="83"/>
      <c r="C83" s="81"/>
    </row>
    <row r="84" spans="2:3">
      <c r="B84" s="83"/>
      <c r="C84" s="81"/>
    </row>
    <row r="85" spans="2:3">
      <c r="B85" s="83"/>
      <c r="C85" s="81"/>
    </row>
    <row r="86" spans="2:3">
      <c r="B86" s="83"/>
      <c r="C86" s="81"/>
    </row>
    <row r="87" spans="2:3">
      <c r="B87" s="83"/>
      <c r="C87" s="81"/>
    </row>
    <row r="88" spans="2:3">
      <c r="B88" s="83"/>
      <c r="C88" s="81"/>
    </row>
    <row r="89" spans="2:3">
      <c r="B89" s="83"/>
      <c r="C89" s="81"/>
    </row>
    <row r="90" spans="2:3">
      <c r="B90" s="83"/>
      <c r="C90" s="81"/>
    </row>
    <row r="91" spans="2:3">
      <c r="B91" s="83"/>
      <c r="C91" s="81"/>
    </row>
    <row r="92" spans="2:3">
      <c r="B92" s="83"/>
      <c r="C92" s="81"/>
    </row>
    <row r="93" spans="2:3">
      <c r="B93" s="83"/>
      <c r="C93" s="81"/>
    </row>
    <row r="94" spans="2:3">
      <c r="B94" s="83"/>
      <c r="C94" s="81"/>
    </row>
  </sheetData>
  <phoneticPr fontId="1" type="noConversion"/>
  <conditionalFormatting sqref="B2:B50">
    <cfRule type="duplicateValues" dxfId="5" priority="3"/>
  </conditionalFormatting>
  <conditionalFormatting sqref="B1">
    <cfRule type="duplicateValues" dxfId="4" priority="2"/>
  </conditionalFormatting>
  <conditionalFormatting sqref="F3">
    <cfRule type="duplicateValues" dxfId="3" priority="1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EA58-082F-4285-A713-818235138744}">
  <dimension ref="A1:I168"/>
  <sheetViews>
    <sheetView workbookViewId="0">
      <selection activeCell="F95" sqref="F95"/>
    </sheetView>
  </sheetViews>
  <sheetFormatPr defaultRowHeight="16.5"/>
  <cols>
    <col min="1" max="1" width="9.25" bestFit="1" customWidth="1"/>
    <col min="2" max="2" width="11.625" bestFit="1" customWidth="1"/>
    <col min="3" max="3" width="29.25" bestFit="1" customWidth="1"/>
    <col min="4" max="4" width="14.125" bestFit="1" customWidth="1"/>
    <col min="5" max="5" width="9.625" bestFit="1" customWidth="1"/>
    <col min="6" max="6" width="15.125" bestFit="1" customWidth="1"/>
    <col min="7" max="7" width="8.25" bestFit="1" customWidth="1"/>
    <col min="8" max="8" width="36.625" bestFit="1" customWidth="1"/>
    <col min="9" max="9" width="11.25" bestFit="1" customWidth="1"/>
  </cols>
  <sheetData>
    <row r="1" spans="1:9">
      <c r="A1" s="59" t="s">
        <v>345</v>
      </c>
      <c r="B1" s="59" t="s">
        <v>593</v>
      </c>
      <c r="C1" s="60" t="s">
        <v>347</v>
      </c>
      <c r="D1" s="59" t="s">
        <v>594</v>
      </c>
      <c r="E1" s="59" t="s">
        <v>595</v>
      </c>
      <c r="F1" s="59" t="s">
        <v>596</v>
      </c>
      <c r="G1" s="61" t="s">
        <v>824</v>
      </c>
      <c r="H1" s="59" t="s">
        <v>351</v>
      </c>
      <c r="I1" s="62" t="s">
        <v>352</v>
      </c>
    </row>
    <row r="2" spans="1:9">
      <c r="A2" s="40" t="s">
        <v>597</v>
      </c>
      <c r="B2" s="40" t="s">
        <v>598</v>
      </c>
      <c r="C2" s="41" t="s">
        <v>599</v>
      </c>
      <c r="D2" s="42">
        <v>0.74229999999999996</v>
      </c>
      <c r="E2" s="42">
        <v>4.4000000000000003E-3</v>
      </c>
      <c r="F2" s="42">
        <v>0.36820000000000003</v>
      </c>
      <c r="G2" s="43">
        <v>0</v>
      </c>
      <c r="H2" s="73"/>
      <c r="I2" s="57">
        <v>168</v>
      </c>
    </row>
    <row r="3" spans="1:9">
      <c r="A3" s="44" t="s">
        <v>357</v>
      </c>
      <c r="B3" s="44" t="s">
        <v>597</v>
      </c>
      <c r="C3" s="45" t="s">
        <v>31</v>
      </c>
      <c r="D3" s="47">
        <v>0.74109999999999998</v>
      </c>
      <c r="E3" s="47">
        <v>2.7000000000000001E-3</v>
      </c>
      <c r="F3" s="47">
        <v>0.37140000000000001</v>
      </c>
      <c r="G3" s="43">
        <f t="shared" ref="G3:G34" si="0">F3 - $F$2</f>
        <v>3.1999999999999806E-3</v>
      </c>
      <c r="H3" s="48" t="s">
        <v>827</v>
      </c>
      <c r="I3" s="58">
        <v>167</v>
      </c>
    </row>
    <row r="4" spans="1:9">
      <c r="A4" s="40" t="s">
        <v>359</v>
      </c>
      <c r="B4" s="40" t="s">
        <v>357</v>
      </c>
      <c r="C4" s="41" t="s">
        <v>28</v>
      </c>
      <c r="D4" s="49">
        <v>0.73619999999999997</v>
      </c>
      <c r="E4" s="49">
        <v>2.7000000000000001E-3</v>
      </c>
      <c r="F4" s="49">
        <v>0.3644</v>
      </c>
      <c r="G4" s="43">
        <f t="shared" si="0"/>
        <v>-3.8000000000000256E-3</v>
      </c>
      <c r="H4" s="48"/>
      <c r="I4" s="57">
        <v>166</v>
      </c>
    </row>
    <row r="5" spans="1:9">
      <c r="A5" s="44" t="s">
        <v>362</v>
      </c>
      <c r="B5" s="44" t="s">
        <v>359</v>
      </c>
      <c r="C5" s="45" t="s">
        <v>198</v>
      </c>
      <c r="D5" s="47">
        <v>0.73240000000000005</v>
      </c>
      <c r="E5" s="47">
        <v>3.0999999999999999E-3</v>
      </c>
      <c r="F5" s="47">
        <v>0.3654</v>
      </c>
      <c r="G5" s="43">
        <f t="shared" si="0"/>
        <v>-2.8000000000000247E-3</v>
      </c>
      <c r="H5" s="45" t="s">
        <v>828</v>
      </c>
      <c r="I5" s="58">
        <v>165</v>
      </c>
    </row>
    <row r="6" spans="1:9">
      <c r="A6" s="40" t="s">
        <v>365</v>
      </c>
      <c r="B6" s="40" t="s">
        <v>362</v>
      </c>
      <c r="C6" s="41" t="s">
        <v>30</v>
      </c>
      <c r="D6" s="49">
        <v>0.73199999999999998</v>
      </c>
      <c r="E6" s="49">
        <v>2.2000000000000001E-3</v>
      </c>
      <c r="F6" s="49">
        <v>0.36170000000000002</v>
      </c>
      <c r="G6" s="43">
        <f t="shared" si="0"/>
        <v>-6.5000000000000058E-3</v>
      </c>
      <c r="H6" s="45" t="s">
        <v>587</v>
      </c>
      <c r="I6" s="57">
        <v>164</v>
      </c>
    </row>
    <row r="7" spans="1:9">
      <c r="A7" s="44" t="s">
        <v>368</v>
      </c>
      <c r="B7" s="44" t="s">
        <v>365</v>
      </c>
      <c r="C7" s="45" t="s">
        <v>199</v>
      </c>
      <c r="D7" s="47">
        <v>0.73329999999999995</v>
      </c>
      <c r="E7" s="47">
        <v>3.7000000000000002E-3</v>
      </c>
      <c r="F7" s="47">
        <v>0.3634</v>
      </c>
      <c r="G7" s="43">
        <f t="shared" si="0"/>
        <v>-4.8000000000000265E-3</v>
      </c>
      <c r="H7" s="45" t="s">
        <v>563</v>
      </c>
      <c r="I7" s="58">
        <v>163</v>
      </c>
    </row>
    <row r="8" spans="1:9">
      <c r="A8" s="40" t="s">
        <v>372</v>
      </c>
      <c r="B8" s="40" t="s">
        <v>368</v>
      </c>
      <c r="C8" s="41" t="s">
        <v>197</v>
      </c>
      <c r="D8" s="49">
        <v>0.73370000000000002</v>
      </c>
      <c r="E8" s="49">
        <v>4.4999999999999997E-3</v>
      </c>
      <c r="F8" s="49">
        <v>0.3644</v>
      </c>
      <c r="G8" s="43">
        <f t="shared" si="0"/>
        <v>-3.8000000000000256E-3</v>
      </c>
      <c r="H8" s="51"/>
      <c r="I8" s="57">
        <v>162</v>
      </c>
    </row>
    <row r="9" spans="1:9">
      <c r="A9" s="44" t="s">
        <v>375</v>
      </c>
      <c r="B9" s="44" t="s">
        <v>372</v>
      </c>
      <c r="C9" s="45" t="s">
        <v>63</v>
      </c>
      <c r="D9" s="47">
        <v>0.73260000000000003</v>
      </c>
      <c r="E9" s="47">
        <v>4.8999999999999998E-3</v>
      </c>
      <c r="F9" s="47">
        <v>0.3644</v>
      </c>
      <c r="G9" s="43">
        <f t="shared" si="0"/>
        <v>-3.8000000000000256E-3</v>
      </c>
      <c r="H9" s="52"/>
      <c r="I9" s="58">
        <v>161</v>
      </c>
    </row>
    <row r="10" spans="1:9">
      <c r="A10" s="40" t="s">
        <v>378</v>
      </c>
      <c r="B10" s="40" t="s">
        <v>375</v>
      </c>
      <c r="C10" s="41" t="s">
        <v>336</v>
      </c>
      <c r="D10" s="49">
        <v>0.71850000000000003</v>
      </c>
      <c r="E10" s="49">
        <v>6.1000000000000004E-3</v>
      </c>
      <c r="F10" s="49">
        <v>0.36220000000000002</v>
      </c>
      <c r="G10" s="43">
        <f t="shared" si="0"/>
        <v>-6.0000000000000053E-3</v>
      </c>
      <c r="H10" s="51"/>
      <c r="I10" s="57">
        <v>160</v>
      </c>
    </row>
    <row r="11" spans="1:9">
      <c r="A11" s="44" t="s">
        <v>381</v>
      </c>
      <c r="B11" s="44" t="s">
        <v>378</v>
      </c>
      <c r="C11" s="45" t="s">
        <v>33</v>
      </c>
      <c r="D11" s="47">
        <v>0.71850000000000003</v>
      </c>
      <c r="E11" s="47">
        <v>5.4000000000000003E-3</v>
      </c>
      <c r="F11" s="47">
        <v>0.35830000000000001</v>
      </c>
      <c r="G11" s="43">
        <f t="shared" si="0"/>
        <v>-9.9000000000000199E-3</v>
      </c>
      <c r="H11" s="52"/>
      <c r="I11" s="58">
        <v>159</v>
      </c>
    </row>
    <row r="12" spans="1:9">
      <c r="A12" s="40" t="s">
        <v>384</v>
      </c>
      <c r="B12" s="40" t="s">
        <v>381</v>
      </c>
      <c r="C12" s="41" t="s">
        <v>35</v>
      </c>
      <c r="D12" s="49">
        <v>0.71599999999999997</v>
      </c>
      <c r="E12" s="49">
        <v>5.7999999999999996E-3</v>
      </c>
      <c r="F12" s="49">
        <v>0.35060000000000002</v>
      </c>
      <c r="G12" s="43">
        <f t="shared" si="0"/>
        <v>-1.7600000000000005E-2</v>
      </c>
      <c r="H12" s="41"/>
      <c r="I12" s="57">
        <v>158</v>
      </c>
    </row>
    <row r="13" spans="1:9">
      <c r="A13" s="44" t="s">
        <v>387</v>
      </c>
      <c r="B13" s="44" t="s">
        <v>384</v>
      </c>
      <c r="C13" s="45" t="s">
        <v>20</v>
      </c>
      <c r="D13" s="47">
        <v>0.64970000000000006</v>
      </c>
      <c r="E13" s="47">
        <v>5.1000000000000004E-3</v>
      </c>
      <c r="F13" s="47">
        <v>0.28889999999999999</v>
      </c>
      <c r="G13" s="43">
        <f t="shared" si="0"/>
        <v>-7.9300000000000037E-2</v>
      </c>
      <c r="H13" s="48" t="s">
        <v>588</v>
      </c>
      <c r="I13" s="58">
        <v>157</v>
      </c>
    </row>
    <row r="14" spans="1:9">
      <c r="A14" s="40" t="s">
        <v>388</v>
      </c>
      <c r="B14" s="40" t="s">
        <v>387</v>
      </c>
      <c r="C14" s="41" t="s">
        <v>297</v>
      </c>
      <c r="D14" s="14">
        <v>0.64690000000000003</v>
      </c>
      <c r="E14" s="14">
        <v>6.0000000000000001E-3</v>
      </c>
      <c r="F14" s="14">
        <v>0.28899999999999998</v>
      </c>
      <c r="G14" s="43">
        <f t="shared" si="0"/>
        <v>-7.9200000000000048E-2</v>
      </c>
      <c r="H14" s="50"/>
      <c r="I14" s="57">
        <v>156</v>
      </c>
    </row>
    <row r="15" spans="1:9">
      <c r="A15" s="44" t="s">
        <v>391</v>
      </c>
      <c r="B15" s="44" t="s">
        <v>388</v>
      </c>
      <c r="C15" s="48" t="s">
        <v>36</v>
      </c>
      <c r="D15" s="14">
        <v>0.64839999999999998</v>
      </c>
      <c r="E15" s="14">
        <v>5.8999999999999999E-3</v>
      </c>
      <c r="F15" s="14">
        <v>0.29120000000000001</v>
      </c>
      <c r="G15" s="43">
        <f t="shared" si="0"/>
        <v>-7.7000000000000013E-2</v>
      </c>
      <c r="H15" s="48"/>
      <c r="I15" s="58">
        <v>155</v>
      </c>
    </row>
    <row r="16" spans="1:9">
      <c r="A16" s="40" t="s">
        <v>392</v>
      </c>
      <c r="B16" s="40" t="s">
        <v>391</v>
      </c>
      <c r="C16" s="48" t="s">
        <v>37</v>
      </c>
      <c r="D16" s="14">
        <v>0.63219999999999998</v>
      </c>
      <c r="E16" s="14">
        <v>6.1999999999999998E-3</v>
      </c>
      <c r="F16" s="14">
        <v>0.28299999999999997</v>
      </c>
      <c r="G16" s="43">
        <f t="shared" si="0"/>
        <v>-8.5200000000000053E-2</v>
      </c>
      <c r="H16" s="50"/>
      <c r="I16" s="57">
        <v>154</v>
      </c>
    </row>
    <row r="17" spans="1:9">
      <c r="A17" s="44" t="s">
        <v>393</v>
      </c>
      <c r="B17" s="44" t="s">
        <v>392</v>
      </c>
      <c r="C17" s="48" t="s">
        <v>184</v>
      </c>
      <c r="D17" s="14">
        <v>0.62619999999999998</v>
      </c>
      <c r="E17" s="14">
        <v>8.0000000000000002E-3</v>
      </c>
      <c r="F17" s="14">
        <v>0.27829999999999999</v>
      </c>
      <c r="G17" s="43">
        <f t="shared" si="0"/>
        <v>-8.9900000000000035E-2</v>
      </c>
      <c r="H17" s="48"/>
      <c r="I17" s="58">
        <v>153</v>
      </c>
    </row>
    <row r="18" spans="1:9">
      <c r="A18" s="40" t="s">
        <v>394</v>
      </c>
      <c r="B18" s="40" t="s">
        <v>393</v>
      </c>
      <c r="C18" s="41" t="s">
        <v>302</v>
      </c>
      <c r="D18" s="14">
        <v>0.62250000000000005</v>
      </c>
      <c r="E18" s="14">
        <v>7.1000000000000004E-3</v>
      </c>
      <c r="F18" s="14">
        <v>0.28089999999999998</v>
      </c>
      <c r="G18" s="43">
        <f t="shared" si="0"/>
        <v>-8.7300000000000044E-2</v>
      </c>
      <c r="H18" s="50"/>
      <c r="I18" s="57">
        <v>152</v>
      </c>
    </row>
    <row r="19" spans="1:9">
      <c r="A19" s="44" t="s">
        <v>395</v>
      </c>
      <c r="B19" s="44" t="s">
        <v>394</v>
      </c>
      <c r="C19" s="48" t="s">
        <v>44</v>
      </c>
      <c r="D19" s="14">
        <v>0.62239999999999995</v>
      </c>
      <c r="E19" s="14">
        <v>6.7000000000000002E-3</v>
      </c>
      <c r="F19" s="14">
        <v>0.28029999999999999</v>
      </c>
      <c r="G19" s="43">
        <f t="shared" si="0"/>
        <v>-8.7900000000000034E-2</v>
      </c>
      <c r="H19" s="48"/>
      <c r="I19" s="58">
        <v>151</v>
      </c>
    </row>
    <row r="20" spans="1:9">
      <c r="A20" s="40" t="s">
        <v>396</v>
      </c>
      <c r="B20" s="40" t="s">
        <v>395</v>
      </c>
      <c r="C20" s="50" t="s">
        <v>11</v>
      </c>
      <c r="D20" s="14">
        <v>0.62390000000000001</v>
      </c>
      <c r="E20" s="14">
        <v>4.7999999999999996E-3</v>
      </c>
      <c r="F20" s="14">
        <v>0.27960000000000002</v>
      </c>
      <c r="G20" s="43">
        <f t="shared" si="0"/>
        <v>-8.8600000000000012E-2</v>
      </c>
      <c r="H20" s="50"/>
      <c r="I20" s="57">
        <v>150</v>
      </c>
    </row>
    <row r="21" spans="1:9">
      <c r="A21" s="44" t="s">
        <v>397</v>
      </c>
      <c r="B21" s="44" t="s">
        <v>396</v>
      </c>
      <c r="C21" s="48" t="s">
        <v>45</v>
      </c>
      <c r="D21" s="14">
        <v>0.59109999999999996</v>
      </c>
      <c r="E21" s="14">
        <v>5.1000000000000004E-3</v>
      </c>
      <c r="F21" s="14">
        <v>0.25280000000000002</v>
      </c>
      <c r="G21" s="43">
        <f t="shared" si="0"/>
        <v>-0.1154</v>
      </c>
      <c r="H21" s="48" t="s">
        <v>589</v>
      </c>
      <c r="I21" s="58">
        <v>149</v>
      </c>
    </row>
    <row r="22" spans="1:9">
      <c r="A22" s="40" t="s">
        <v>398</v>
      </c>
      <c r="B22" s="40" t="s">
        <v>397</v>
      </c>
      <c r="C22" s="50" t="s">
        <v>46</v>
      </c>
      <c r="D22" s="14">
        <v>0.59</v>
      </c>
      <c r="E22" s="14">
        <v>4.1000000000000003E-3</v>
      </c>
      <c r="F22" s="14">
        <v>0.25180000000000002</v>
      </c>
      <c r="G22" s="43">
        <f t="shared" si="0"/>
        <v>-0.1164</v>
      </c>
      <c r="H22" s="50"/>
      <c r="I22" s="57">
        <v>148</v>
      </c>
    </row>
    <row r="23" spans="1:9">
      <c r="A23" s="44" t="s">
        <v>408</v>
      </c>
      <c r="B23" s="44" t="s">
        <v>398</v>
      </c>
      <c r="C23" s="48" t="s">
        <v>200</v>
      </c>
      <c r="D23" s="14">
        <v>0.59019999999999995</v>
      </c>
      <c r="E23" s="14">
        <v>4.1999999999999997E-3</v>
      </c>
      <c r="F23" s="14">
        <v>0.25190000000000001</v>
      </c>
      <c r="G23" s="43">
        <f t="shared" si="0"/>
        <v>-0.11630000000000001</v>
      </c>
      <c r="H23" s="48"/>
      <c r="I23" s="58">
        <v>147</v>
      </c>
    </row>
    <row r="24" spans="1:9">
      <c r="A24" s="40" t="s">
        <v>409</v>
      </c>
      <c r="B24" s="40" t="s">
        <v>408</v>
      </c>
      <c r="C24" s="50" t="s">
        <v>21</v>
      </c>
      <c r="D24" s="14">
        <v>0.58930000000000005</v>
      </c>
      <c r="E24" s="14">
        <v>4.1000000000000003E-3</v>
      </c>
      <c r="F24" s="14">
        <v>0.25190000000000001</v>
      </c>
      <c r="G24" s="43">
        <f t="shared" si="0"/>
        <v>-0.11630000000000001</v>
      </c>
      <c r="H24" s="50"/>
      <c r="I24" s="57">
        <v>146</v>
      </c>
    </row>
    <row r="25" spans="1:9">
      <c r="A25" s="44" t="s">
        <v>410</v>
      </c>
      <c r="B25" s="44" t="s">
        <v>409</v>
      </c>
      <c r="C25" s="48" t="s">
        <v>64</v>
      </c>
      <c r="D25" s="14">
        <v>0.59050000000000002</v>
      </c>
      <c r="E25" s="14">
        <v>4.0000000000000001E-3</v>
      </c>
      <c r="F25" s="14">
        <v>0.25040000000000001</v>
      </c>
      <c r="G25" s="43">
        <f t="shared" si="0"/>
        <v>-0.11780000000000002</v>
      </c>
      <c r="H25" s="48"/>
      <c r="I25" s="58">
        <v>145</v>
      </c>
    </row>
    <row r="26" spans="1:9">
      <c r="A26" s="40" t="s">
        <v>411</v>
      </c>
      <c r="B26" s="40" t="s">
        <v>410</v>
      </c>
      <c r="C26" s="50" t="s">
        <v>337</v>
      </c>
      <c r="D26" s="14">
        <v>0.55649999999999999</v>
      </c>
      <c r="E26" s="14">
        <v>5.1000000000000004E-3</v>
      </c>
      <c r="F26" s="14">
        <v>0.2319</v>
      </c>
      <c r="G26" s="43">
        <f t="shared" si="0"/>
        <v>-0.13630000000000003</v>
      </c>
      <c r="H26" s="50"/>
      <c r="I26" s="57">
        <v>144</v>
      </c>
    </row>
    <row r="27" spans="1:9">
      <c r="A27" s="44" t="s">
        <v>412</v>
      </c>
      <c r="B27" s="44" t="s">
        <v>411</v>
      </c>
      <c r="C27" s="48" t="s">
        <v>23</v>
      </c>
      <c r="D27" s="14">
        <v>0.52990000000000004</v>
      </c>
      <c r="E27" s="14">
        <v>3.8999999999999998E-3</v>
      </c>
      <c r="F27" s="14">
        <v>0.20499999999999999</v>
      </c>
      <c r="G27" s="43">
        <f t="shared" si="0"/>
        <v>-0.16320000000000004</v>
      </c>
      <c r="H27" s="48" t="s">
        <v>590</v>
      </c>
      <c r="I27" s="58">
        <v>143</v>
      </c>
    </row>
    <row r="28" spans="1:9">
      <c r="A28" s="40" t="s">
        <v>413</v>
      </c>
      <c r="B28" s="40" t="s">
        <v>412</v>
      </c>
      <c r="C28" s="50" t="s">
        <v>12</v>
      </c>
      <c r="D28" s="14">
        <v>0.5222</v>
      </c>
      <c r="E28" s="14">
        <v>4.7999999999999996E-3</v>
      </c>
      <c r="F28" s="14">
        <v>0.20699999999999999</v>
      </c>
      <c r="G28" s="43">
        <f t="shared" si="0"/>
        <v>-0.16120000000000004</v>
      </c>
      <c r="H28" s="50"/>
      <c r="I28" s="57">
        <v>142</v>
      </c>
    </row>
    <row r="29" spans="1:9">
      <c r="A29" s="44" t="s">
        <v>414</v>
      </c>
      <c r="B29" s="44" t="s">
        <v>413</v>
      </c>
      <c r="C29" s="48" t="s">
        <v>192</v>
      </c>
      <c r="D29" s="14">
        <v>0.4924</v>
      </c>
      <c r="E29" s="14">
        <v>1.4E-3</v>
      </c>
      <c r="F29" s="14">
        <v>0.17799999999999999</v>
      </c>
      <c r="G29" s="43">
        <f t="shared" si="0"/>
        <v>-0.19020000000000004</v>
      </c>
      <c r="H29" s="48" t="s">
        <v>591</v>
      </c>
      <c r="I29" s="58">
        <v>141</v>
      </c>
    </row>
    <row r="30" spans="1:9">
      <c r="A30" s="40" t="s">
        <v>415</v>
      </c>
      <c r="B30" s="40" t="s">
        <v>414</v>
      </c>
      <c r="C30" s="50" t="s">
        <v>107</v>
      </c>
      <c r="D30" s="14">
        <v>0.48899999999999999</v>
      </c>
      <c r="E30" s="14">
        <v>3.0999999999999999E-3</v>
      </c>
      <c r="F30" s="14">
        <v>0.1757</v>
      </c>
      <c r="G30" s="43">
        <f t="shared" si="0"/>
        <v>-0.19250000000000003</v>
      </c>
      <c r="H30" s="50"/>
      <c r="I30" s="57">
        <v>140</v>
      </c>
    </row>
    <row r="31" spans="1:9">
      <c r="A31" s="63" t="s">
        <v>416</v>
      </c>
      <c r="B31" s="63" t="s">
        <v>415</v>
      </c>
      <c r="C31" s="67" t="s">
        <v>187</v>
      </c>
      <c r="D31" s="14">
        <v>0.4869</v>
      </c>
      <c r="E31" s="14">
        <v>3.5999999999999999E-3</v>
      </c>
      <c r="F31" s="14">
        <v>0.17879999999999999</v>
      </c>
      <c r="G31" s="64">
        <f t="shared" si="0"/>
        <v>-0.18940000000000004</v>
      </c>
      <c r="H31" s="65"/>
      <c r="I31" s="66">
        <v>139</v>
      </c>
    </row>
    <row r="32" spans="1:9">
      <c r="A32" s="63" t="s">
        <v>417</v>
      </c>
      <c r="B32" s="63" t="s">
        <v>416</v>
      </c>
      <c r="C32" t="s">
        <v>226</v>
      </c>
      <c r="D32" s="14">
        <v>0.48049999999999998</v>
      </c>
      <c r="E32" s="14">
        <v>3.7000000000000002E-3</v>
      </c>
      <c r="F32" s="14">
        <v>0.17849999999999999</v>
      </c>
      <c r="G32" s="43">
        <f t="shared" si="0"/>
        <v>-0.18970000000000004</v>
      </c>
      <c r="H32" s="48"/>
      <c r="I32" s="57">
        <v>138</v>
      </c>
    </row>
    <row r="33" spans="1:9">
      <c r="A33" s="63" t="s">
        <v>418</v>
      </c>
      <c r="B33" s="63" t="s">
        <v>417</v>
      </c>
      <c r="C33" t="s">
        <v>330</v>
      </c>
      <c r="D33" s="14">
        <v>0.4824</v>
      </c>
      <c r="E33" s="14">
        <v>4.1000000000000003E-3</v>
      </c>
      <c r="F33" s="14">
        <v>0.1784</v>
      </c>
      <c r="G33" s="43">
        <f t="shared" si="0"/>
        <v>-0.18980000000000002</v>
      </c>
      <c r="H33" s="48"/>
      <c r="I33" s="66">
        <v>137</v>
      </c>
    </row>
    <row r="34" spans="1:9">
      <c r="A34" s="63" t="s">
        <v>419</v>
      </c>
      <c r="B34" s="63" t="s">
        <v>418</v>
      </c>
      <c r="C34" t="s">
        <v>329</v>
      </c>
      <c r="D34" s="14">
        <v>0.4723</v>
      </c>
      <c r="E34" s="14">
        <v>3.7000000000000002E-3</v>
      </c>
      <c r="F34" s="14">
        <v>0.17680000000000001</v>
      </c>
      <c r="G34" s="43">
        <f t="shared" si="0"/>
        <v>-0.19140000000000001</v>
      </c>
      <c r="H34" s="48"/>
      <c r="I34" s="57">
        <v>136</v>
      </c>
    </row>
    <row r="35" spans="1:9">
      <c r="A35" s="63" t="s">
        <v>420</v>
      </c>
      <c r="B35" s="63" t="s">
        <v>419</v>
      </c>
      <c r="C35" t="s">
        <v>237</v>
      </c>
      <c r="D35" s="14">
        <v>0.46279999999999999</v>
      </c>
      <c r="E35" s="14">
        <v>3.7000000000000002E-3</v>
      </c>
      <c r="F35" s="14">
        <v>0.17929999999999999</v>
      </c>
      <c r="G35" s="43">
        <f t="shared" ref="G35:G66" si="1">F35 - $F$2</f>
        <v>-0.18890000000000004</v>
      </c>
      <c r="H35" s="48"/>
      <c r="I35" s="66">
        <v>135</v>
      </c>
    </row>
    <row r="36" spans="1:9">
      <c r="A36" s="63" t="s">
        <v>421</v>
      </c>
      <c r="B36" s="63" t="s">
        <v>420</v>
      </c>
      <c r="C36" s="13" t="s">
        <v>49</v>
      </c>
      <c r="D36" s="14">
        <v>0.45429999999999998</v>
      </c>
      <c r="E36" s="14">
        <v>5.3E-3</v>
      </c>
      <c r="F36" s="14">
        <v>0.17080000000000001</v>
      </c>
      <c r="G36" s="43">
        <f t="shared" si="1"/>
        <v>-0.19740000000000002</v>
      </c>
      <c r="H36" s="48"/>
      <c r="I36" s="57">
        <v>134</v>
      </c>
    </row>
    <row r="37" spans="1:9">
      <c r="A37" s="63" t="s">
        <v>422</v>
      </c>
      <c r="B37" s="63" t="s">
        <v>421</v>
      </c>
      <c r="C37" s="13" t="s">
        <v>250</v>
      </c>
      <c r="D37" s="14">
        <v>0.44890000000000002</v>
      </c>
      <c r="E37" s="14">
        <v>3.0999999999999999E-3</v>
      </c>
      <c r="F37" s="14">
        <v>0.17080000000000001</v>
      </c>
      <c r="G37" s="43">
        <f t="shared" si="1"/>
        <v>-0.19740000000000002</v>
      </c>
      <c r="H37" s="48"/>
      <c r="I37" s="66">
        <v>133</v>
      </c>
    </row>
    <row r="38" spans="1:9">
      <c r="A38" s="63" t="s">
        <v>445</v>
      </c>
      <c r="B38" s="63" t="s">
        <v>422</v>
      </c>
      <c r="C38" s="68" t="s">
        <v>186</v>
      </c>
      <c r="D38" s="14">
        <v>0.44230000000000003</v>
      </c>
      <c r="E38" s="14">
        <v>2.8999999999999998E-3</v>
      </c>
      <c r="F38" s="14">
        <v>0.1721</v>
      </c>
      <c r="G38" s="43">
        <f t="shared" si="1"/>
        <v>-0.19610000000000002</v>
      </c>
      <c r="H38" s="48"/>
      <c r="I38" s="57">
        <v>132</v>
      </c>
    </row>
    <row r="39" spans="1:9">
      <c r="A39" s="63" t="s">
        <v>448</v>
      </c>
      <c r="B39" s="63" t="s">
        <v>445</v>
      </c>
      <c r="C39" s="68" t="s">
        <v>47</v>
      </c>
      <c r="D39" s="14">
        <v>0.44280000000000003</v>
      </c>
      <c r="E39" s="14">
        <v>3.5000000000000001E-3</v>
      </c>
      <c r="F39" s="14">
        <v>0.1721</v>
      </c>
      <c r="G39" s="43">
        <f t="shared" si="1"/>
        <v>-0.19610000000000002</v>
      </c>
      <c r="H39" s="48"/>
      <c r="I39" s="66">
        <v>131</v>
      </c>
    </row>
    <row r="40" spans="1:9">
      <c r="A40" s="63" t="s">
        <v>449</v>
      </c>
      <c r="B40" s="63" t="s">
        <v>448</v>
      </c>
      <c r="C40" s="68" t="s">
        <v>66</v>
      </c>
      <c r="D40" s="14">
        <v>0.42020000000000002</v>
      </c>
      <c r="E40" s="14">
        <v>5.3E-3</v>
      </c>
      <c r="F40" s="14">
        <v>0.1472</v>
      </c>
      <c r="G40" s="43">
        <f t="shared" si="1"/>
        <v>-0.22100000000000003</v>
      </c>
      <c r="H40" s="48" t="s">
        <v>592</v>
      </c>
      <c r="I40" s="57">
        <v>130</v>
      </c>
    </row>
    <row r="41" spans="1:9">
      <c r="A41" s="63" t="s">
        <v>450</v>
      </c>
      <c r="B41" s="63" t="s">
        <v>449</v>
      </c>
      <c r="C41" s="68" t="s">
        <v>189</v>
      </c>
      <c r="D41" s="14">
        <v>0.40229999999999999</v>
      </c>
      <c r="E41" s="14">
        <v>4.5999999999999999E-3</v>
      </c>
      <c r="F41" s="14">
        <v>0.13420000000000001</v>
      </c>
      <c r="G41" s="43">
        <f t="shared" si="1"/>
        <v>-0.23400000000000001</v>
      </c>
      <c r="H41" s="48"/>
      <c r="I41" s="66">
        <v>129</v>
      </c>
    </row>
    <row r="42" spans="1:9">
      <c r="A42" s="44" t="s">
        <v>451</v>
      </c>
      <c r="B42" s="44" t="s">
        <v>450</v>
      </c>
      <c r="C42" t="s">
        <v>222</v>
      </c>
      <c r="D42" s="47">
        <v>0.39979999999999999</v>
      </c>
      <c r="E42" s="47">
        <v>4.3E-3</v>
      </c>
      <c r="F42" s="47">
        <v>0.13519999999999999</v>
      </c>
      <c r="G42" s="43">
        <f t="shared" si="1"/>
        <v>-0.23300000000000004</v>
      </c>
      <c r="H42" s="48"/>
      <c r="I42" s="57">
        <v>128</v>
      </c>
    </row>
    <row r="43" spans="1:9">
      <c r="A43" s="69" t="s">
        <v>452</v>
      </c>
      <c r="B43" s="69" t="s">
        <v>451</v>
      </c>
      <c r="C43" t="s">
        <v>214</v>
      </c>
      <c r="D43" s="47">
        <v>0.39710000000000001</v>
      </c>
      <c r="E43" s="47">
        <v>5.5999999999999999E-3</v>
      </c>
      <c r="F43" s="47">
        <v>0.13550000000000001</v>
      </c>
      <c r="G43" s="43">
        <f t="shared" si="1"/>
        <v>-0.23270000000000002</v>
      </c>
      <c r="H43" s="48"/>
      <c r="I43" s="66">
        <v>127</v>
      </c>
    </row>
    <row r="44" spans="1:9">
      <c r="A44" s="69" t="s">
        <v>453</v>
      </c>
      <c r="B44" s="69" t="s">
        <v>452</v>
      </c>
      <c r="C44" t="s">
        <v>209</v>
      </c>
      <c r="D44" s="47">
        <v>0.39750000000000002</v>
      </c>
      <c r="E44" s="47">
        <v>5.4000000000000003E-3</v>
      </c>
      <c r="F44" s="47">
        <v>0.1371</v>
      </c>
      <c r="G44" s="43">
        <f t="shared" si="1"/>
        <v>-0.23110000000000003</v>
      </c>
      <c r="H44" s="48"/>
      <c r="I44" s="57">
        <v>126</v>
      </c>
    </row>
    <row r="45" spans="1:9">
      <c r="A45" s="69" t="s">
        <v>454</v>
      </c>
      <c r="B45" s="69" t="s">
        <v>453</v>
      </c>
      <c r="C45" t="s">
        <v>207</v>
      </c>
      <c r="D45" s="47">
        <v>0.39279999999999998</v>
      </c>
      <c r="E45" s="47">
        <v>6.1999999999999998E-3</v>
      </c>
      <c r="F45" s="47">
        <v>0.13519999999999999</v>
      </c>
      <c r="G45" s="43">
        <f t="shared" si="1"/>
        <v>-0.23300000000000004</v>
      </c>
      <c r="H45" s="48"/>
      <c r="I45" s="66">
        <v>125</v>
      </c>
    </row>
    <row r="46" spans="1:9">
      <c r="A46" s="69" t="s">
        <v>455</v>
      </c>
      <c r="B46" s="69" t="s">
        <v>454</v>
      </c>
      <c r="C46" t="s">
        <v>314</v>
      </c>
      <c r="D46" s="47">
        <v>0.39100000000000001</v>
      </c>
      <c r="E46" s="47">
        <v>5.3E-3</v>
      </c>
      <c r="F46" s="47">
        <v>0.13600000000000001</v>
      </c>
      <c r="G46" s="43">
        <f t="shared" si="1"/>
        <v>-0.23220000000000002</v>
      </c>
      <c r="H46" s="48"/>
      <c r="I46" s="57">
        <v>124</v>
      </c>
    </row>
    <row r="47" spans="1:9">
      <c r="A47" s="69" t="s">
        <v>456</v>
      </c>
      <c r="B47" s="69" t="s">
        <v>455</v>
      </c>
      <c r="C47" t="s">
        <v>239</v>
      </c>
      <c r="D47" s="47">
        <v>0.38590000000000002</v>
      </c>
      <c r="E47" s="47">
        <v>9.1000000000000004E-3</v>
      </c>
      <c r="F47" s="47">
        <v>0.1358</v>
      </c>
      <c r="G47" s="43">
        <f t="shared" si="1"/>
        <v>-0.23240000000000002</v>
      </c>
      <c r="H47" s="48"/>
      <c r="I47" s="66">
        <v>123</v>
      </c>
    </row>
    <row r="48" spans="1:9">
      <c r="A48" s="69" t="s">
        <v>457</v>
      </c>
      <c r="B48" s="69" t="s">
        <v>456</v>
      </c>
      <c r="C48" t="s">
        <v>307</v>
      </c>
      <c r="D48" s="47">
        <v>0.38179999999999997</v>
      </c>
      <c r="E48" s="47">
        <v>5.3E-3</v>
      </c>
      <c r="F48" s="47">
        <v>0.13500000000000001</v>
      </c>
      <c r="G48" s="43">
        <f t="shared" si="1"/>
        <v>-0.23320000000000002</v>
      </c>
      <c r="H48" s="48"/>
      <c r="I48" s="57">
        <v>122</v>
      </c>
    </row>
    <row r="49" spans="1:9">
      <c r="A49" s="69" t="s">
        <v>458</v>
      </c>
      <c r="B49" s="69" t="s">
        <v>457</v>
      </c>
      <c r="C49" t="s">
        <v>252</v>
      </c>
      <c r="D49" s="47">
        <v>0.37740000000000001</v>
      </c>
      <c r="E49" s="47">
        <v>2.8999999999999998E-3</v>
      </c>
      <c r="F49" s="47">
        <v>0.13650000000000001</v>
      </c>
      <c r="G49" s="43">
        <f t="shared" si="1"/>
        <v>-0.23170000000000002</v>
      </c>
      <c r="H49" s="48"/>
      <c r="I49" s="66">
        <v>121</v>
      </c>
    </row>
    <row r="50" spans="1:9">
      <c r="A50" s="69" t="s">
        <v>459</v>
      </c>
      <c r="B50" s="69" t="s">
        <v>458</v>
      </c>
      <c r="C50" t="s">
        <v>13</v>
      </c>
      <c r="D50" s="47">
        <v>0.37309999999999999</v>
      </c>
      <c r="E50" s="47">
        <v>8.9999999999999998E-4</v>
      </c>
      <c r="F50" s="47">
        <v>0.13539999999999999</v>
      </c>
      <c r="G50" s="43">
        <f t="shared" si="1"/>
        <v>-0.23280000000000003</v>
      </c>
      <c r="H50" s="48"/>
      <c r="I50" s="57">
        <v>120</v>
      </c>
    </row>
    <row r="51" spans="1:9">
      <c r="A51" s="69" t="s">
        <v>460</v>
      </c>
      <c r="B51" s="69" t="s">
        <v>459</v>
      </c>
      <c r="C51" t="s">
        <v>81</v>
      </c>
      <c r="D51" s="47">
        <v>0.3649</v>
      </c>
      <c r="E51" s="47">
        <v>4.3E-3</v>
      </c>
      <c r="F51" s="47">
        <v>0.13320000000000001</v>
      </c>
      <c r="G51" s="43">
        <f t="shared" si="1"/>
        <v>-0.23500000000000001</v>
      </c>
      <c r="H51" s="48"/>
      <c r="I51" s="66">
        <v>119</v>
      </c>
    </row>
    <row r="52" spans="1:9">
      <c r="A52" s="69" t="s">
        <v>461</v>
      </c>
      <c r="B52" s="69" t="s">
        <v>460</v>
      </c>
      <c r="C52" t="s">
        <v>71</v>
      </c>
      <c r="D52" s="47">
        <v>0.36199999999999999</v>
      </c>
      <c r="E52" s="47">
        <v>5.8999999999999999E-3</v>
      </c>
      <c r="F52" s="47">
        <v>0.13170000000000001</v>
      </c>
      <c r="G52" s="43">
        <f t="shared" si="1"/>
        <v>-0.23650000000000002</v>
      </c>
      <c r="H52" s="48"/>
      <c r="I52" s="57">
        <v>118</v>
      </c>
    </row>
    <row r="53" spans="1:9">
      <c r="A53" s="69" t="s">
        <v>462</v>
      </c>
      <c r="B53" s="69" t="s">
        <v>461</v>
      </c>
      <c r="C53" t="s">
        <v>137</v>
      </c>
      <c r="D53" s="47">
        <v>0.36109999999999998</v>
      </c>
      <c r="E53" s="47">
        <v>6.0000000000000001E-3</v>
      </c>
      <c r="F53" s="47">
        <v>0.1331</v>
      </c>
      <c r="G53" s="43">
        <f t="shared" si="1"/>
        <v>-0.23510000000000003</v>
      </c>
      <c r="H53" s="48"/>
      <c r="I53" s="66">
        <v>117</v>
      </c>
    </row>
    <row r="54" spans="1:9">
      <c r="A54" s="69" t="s">
        <v>463</v>
      </c>
      <c r="B54" s="69" t="s">
        <v>462</v>
      </c>
      <c r="C54" t="s">
        <v>167</v>
      </c>
      <c r="D54" s="47">
        <v>0.35709999999999997</v>
      </c>
      <c r="E54" s="47">
        <v>4.4000000000000003E-3</v>
      </c>
      <c r="F54" s="47">
        <v>0.1338</v>
      </c>
      <c r="G54" s="43">
        <f t="shared" si="1"/>
        <v>-0.23440000000000003</v>
      </c>
      <c r="H54" s="48"/>
      <c r="I54" s="57">
        <v>116</v>
      </c>
    </row>
    <row r="55" spans="1:9">
      <c r="A55" s="69" t="s">
        <v>464</v>
      </c>
      <c r="B55" s="69" t="s">
        <v>463</v>
      </c>
      <c r="C55" t="s">
        <v>310</v>
      </c>
      <c r="D55" s="47">
        <v>0.35720000000000002</v>
      </c>
      <c r="E55" s="47">
        <v>5.7000000000000002E-3</v>
      </c>
      <c r="F55" s="47">
        <v>0.13270000000000001</v>
      </c>
      <c r="G55" s="43">
        <f t="shared" si="1"/>
        <v>-0.23550000000000001</v>
      </c>
      <c r="H55" s="48"/>
      <c r="I55" s="66">
        <v>115</v>
      </c>
    </row>
    <row r="56" spans="1:9">
      <c r="A56" s="69" t="s">
        <v>465</v>
      </c>
      <c r="B56" s="69" t="s">
        <v>464</v>
      </c>
      <c r="C56" t="s">
        <v>228</v>
      </c>
      <c r="D56" s="47">
        <v>0.35849999999999999</v>
      </c>
      <c r="E56" s="47">
        <v>3.0000000000000001E-3</v>
      </c>
      <c r="F56" s="47">
        <v>0.1331</v>
      </c>
      <c r="G56" s="43">
        <f t="shared" si="1"/>
        <v>-0.23510000000000003</v>
      </c>
      <c r="H56" s="48"/>
      <c r="I56" s="57">
        <v>114</v>
      </c>
    </row>
    <row r="57" spans="1:9">
      <c r="A57" s="69" t="s">
        <v>466</v>
      </c>
      <c r="B57" s="69" t="s">
        <v>465</v>
      </c>
      <c r="C57" t="s">
        <v>316</v>
      </c>
      <c r="D57" s="47">
        <v>0.35730000000000001</v>
      </c>
      <c r="E57" s="47">
        <v>4.0000000000000001E-3</v>
      </c>
      <c r="F57" s="47">
        <v>0.1331</v>
      </c>
      <c r="G57" s="43">
        <f t="shared" si="1"/>
        <v>-0.23510000000000003</v>
      </c>
      <c r="H57" s="48"/>
      <c r="I57" s="66">
        <v>113</v>
      </c>
    </row>
    <row r="58" spans="1:9">
      <c r="A58" s="69" t="s">
        <v>467</v>
      </c>
      <c r="B58" s="69" t="s">
        <v>466</v>
      </c>
      <c r="C58" t="s">
        <v>231</v>
      </c>
      <c r="D58" s="47">
        <v>0.35930000000000001</v>
      </c>
      <c r="E58" s="47">
        <v>3.3E-3</v>
      </c>
      <c r="F58" s="47">
        <v>0.13370000000000001</v>
      </c>
      <c r="G58" s="43">
        <f t="shared" si="1"/>
        <v>-0.23450000000000001</v>
      </c>
      <c r="H58" s="48"/>
      <c r="I58" s="57">
        <v>112</v>
      </c>
    </row>
    <row r="59" spans="1:9">
      <c r="A59" s="69" t="s">
        <v>468</v>
      </c>
      <c r="B59" s="69" t="s">
        <v>467</v>
      </c>
      <c r="C59" t="s">
        <v>202</v>
      </c>
      <c r="D59" s="47">
        <v>0.35820000000000002</v>
      </c>
      <c r="E59" s="47">
        <v>3.3E-3</v>
      </c>
      <c r="F59" s="47">
        <v>0.13370000000000001</v>
      </c>
      <c r="G59" s="43">
        <f t="shared" si="1"/>
        <v>-0.23450000000000001</v>
      </c>
      <c r="H59" s="48"/>
      <c r="I59" s="66">
        <v>111</v>
      </c>
    </row>
    <row r="60" spans="1:9">
      <c r="A60" s="69" t="s">
        <v>469</v>
      </c>
      <c r="B60" s="69" t="s">
        <v>468</v>
      </c>
      <c r="C60" t="s">
        <v>193</v>
      </c>
      <c r="D60" s="47">
        <v>0.32900000000000001</v>
      </c>
      <c r="E60" s="47">
        <v>1.6000000000000001E-3</v>
      </c>
      <c r="F60" s="47">
        <v>0.1019</v>
      </c>
      <c r="G60" s="43">
        <f t="shared" si="1"/>
        <v>-0.26630000000000004</v>
      </c>
      <c r="H60" s="48" t="s">
        <v>840</v>
      </c>
      <c r="I60" s="57">
        <v>110</v>
      </c>
    </row>
    <row r="61" spans="1:9">
      <c r="A61" s="69" t="s">
        <v>470</v>
      </c>
      <c r="B61" s="69" t="s">
        <v>469</v>
      </c>
      <c r="C61" t="s">
        <v>232</v>
      </c>
      <c r="D61" s="47">
        <v>0.32979999999999998</v>
      </c>
      <c r="E61" s="47">
        <v>2.3E-3</v>
      </c>
      <c r="F61" s="47">
        <v>0.1019</v>
      </c>
      <c r="G61" s="43">
        <f t="shared" si="1"/>
        <v>-0.26630000000000004</v>
      </c>
      <c r="H61" s="48"/>
      <c r="I61" s="66">
        <v>109</v>
      </c>
    </row>
    <row r="62" spans="1:9">
      <c r="A62" s="69" t="s">
        <v>471</v>
      </c>
      <c r="B62" s="69" t="s">
        <v>470</v>
      </c>
      <c r="C62" t="s">
        <v>230</v>
      </c>
      <c r="D62" s="47">
        <v>0.33050000000000002</v>
      </c>
      <c r="E62" s="47">
        <v>3.3999999999999998E-3</v>
      </c>
      <c r="F62" s="47">
        <v>0.1004</v>
      </c>
      <c r="G62" s="43">
        <f t="shared" si="1"/>
        <v>-0.26780000000000004</v>
      </c>
      <c r="H62" s="48"/>
      <c r="I62" s="57">
        <v>108</v>
      </c>
    </row>
    <row r="63" spans="1:9">
      <c r="A63" s="69" t="s">
        <v>472</v>
      </c>
      <c r="B63" s="69" t="s">
        <v>471</v>
      </c>
      <c r="C63" t="s">
        <v>306</v>
      </c>
      <c r="D63" s="47">
        <v>0.3216</v>
      </c>
      <c r="E63" s="47">
        <v>4.4000000000000003E-3</v>
      </c>
      <c r="F63" s="47">
        <v>0.104</v>
      </c>
      <c r="G63" s="43">
        <f t="shared" si="1"/>
        <v>-0.26420000000000005</v>
      </c>
      <c r="H63" s="48"/>
      <c r="I63" s="66">
        <v>107</v>
      </c>
    </row>
    <row r="64" spans="1:9">
      <c r="A64" s="69" t="s">
        <v>473</v>
      </c>
      <c r="B64" s="69" t="s">
        <v>472</v>
      </c>
      <c r="C64" t="s">
        <v>249</v>
      </c>
      <c r="D64" s="47">
        <v>0.31369999999999998</v>
      </c>
      <c r="E64" s="47">
        <v>4.1000000000000003E-3</v>
      </c>
      <c r="F64" s="47">
        <v>0.1028</v>
      </c>
      <c r="G64" s="43">
        <f t="shared" si="1"/>
        <v>-0.26540000000000002</v>
      </c>
      <c r="H64" s="48"/>
      <c r="I64" s="57">
        <v>106</v>
      </c>
    </row>
    <row r="65" spans="1:9">
      <c r="A65" s="69" t="s">
        <v>474</v>
      </c>
      <c r="B65" s="69" t="s">
        <v>473</v>
      </c>
      <c r="C65" t="s">
        <v>68</v>
      </c>
      <c r="D65" s="47">
        <v>0.31609999999999999</v>
      </c>
      <c r="E65" s="47">
        <v>5.1000000000000004E-3</v>
      </c>
      <c r="F65" s="47">
        <v>0.10390000000000001</v>
      </c>
      <c r="G65" s="43">
        <f t="shared" si="1"/>
        <v>-0.26430000000000003</v>
      </c>
      <c r="H65" s="48"/>
      <c r="I65" s="66">
        <v>105</v>
      </c>
    </row>
    <row r="66" spans="1:9">
      <c r="A66" s="69" t="s">
        <v>475</v>
      </c>
      <c r="B66" s="69" t="s">
        <v>474</v>
      </c>
      <c r="C66" t="s">
        <v>321</v>
      </c>
      <c r="D66" s="47">
        <v>0.31559999999999999</v>
      </c>
      <c r="E66" s="47">
        <v>4.4000000000000003E-3</v>
      </c>
      <c r="F66" s="47">
        <v>0.1022</v>
      </c>
      <c r="G66" s="43">
        <f t="shared" si="1"/>
        <v>-0.26600000000000001</v>
      </c>
      <c r="H66" s="48"/>
      <c r="I66" s="57">
        <v>104</v>
      </c>
    </row>
    <row r="67" spans="1:9">
      <c r="A67" s="69" t="s">
        <v>476</v>
      </c>
      <c r="B67" s="69" t="s">
        <v>475</v>
      </c>
      <c r="C67" t="s">
        <v>270</v>
      </c>
      <c r="D67" s="47">
        <v>0.31759999999999999</v>
      </c>
      <c r="E67" s="47">
        <v>2.2000000000000001E-3</v>
      </c>
      <c r="F67" s="47">
        <v>0.1024</v>
      </c>
      <c r="G67" s="43">
        <f t="shared" ref="G67:G98" si="2">F67 - $F$2</f>
        <v>-0.26580000000000004</v>
      </c>
      <c r="H67" s="48"/>
      <c r="I67" s="66">
        <v>103</v>
      </c>
    </row>
    <row r="68" spans="1:9">
      <c r="A68" s="69" t="s">
        <v>477</v>
      </c>
      <c r="B68" s="69" t="s">
        <v>476</v>
      </c>
      <c r="C68" t="s">
        <v>331</v>
      </c>
      <c r="D68" s="47">
        <v>0.31640000000000001</v>
      </c>
      <c r="E68" s="47">
        <v>2.8E-3</v>
      </c>
      <c r="F68" s="47">
        <v>0.1021</v>
      </c>
      <c r="G68" s="43">
        <f t="shared" si="2"/>
        <v>-0.2661</v>
      </c>
      <c r="H68" s="48"/>
      <c r="I68" s="57">
        <v>102</v>
      </c>
    </row>
    <row r="69" spans="1:9">
      <c r="A69" s="69" t="s">
        <v>478</v>
      </c>
      <c r="B69" s="69" t="s">
        <v>477</v>
      </c>
      <c r="C69" t="s">
        <v>322</v>
      </c>
      <c r="D69" s="47">
        <v>0.31590000000000001</v>
      </c>
      <c r="E69" s="47">
        <v>3.8999999999999998E-3</v>
      </c>
      <c r="F69" s="47">
        <v>0.1008</v>
      </c>
      <c r="G69" s="43">
        <f t="shared" si="2"/>
        <v>-0.26740000000000003</v>
      </c>
      <c r="H69" s="48"/>
      <c r="I69" s="66">
        <v>101</v>
      </c>
    </row>
    <row r="70" spans="1:9">
      <c r="A70" s="69" t="s">
        <v>479</v>
      </c>
      <c r="B70" s="69" t="s">
        <v>478</v>
      </c>
      <c r="C70" t="s">
        <v>69</v>
      </c>
      <c r="D70" s="47">
        <v>0.31469999999999998</v>
      </c>
      <c r="E70" s="47">
        <v>1.2999999999999999E-3</v>
      </c>
      <c r="F70" s="47">
        <v>0.1007</v>
      </c>
      <c r="G70" s="43">
        <f t="shared" si="2"/>
        <v>-0.26750000000000002</v>
      </c>
      <c r="H70" s="48"/>
      <c r="I70" s="57">
        <v>100</v>
      </c>
    </row>
    <row r="71" spans="1:9">
      <c r="A71" s="69" t="s">
        <v>480</v>
      </c>
      <c r="B71" s="69" t="s">
        <v>479</v>
      </c>
      <c r="C71" t="s">
        <v>127</v>
      </c>
      <c r="D71" s="47">
        <v>0.314</v>
      </c>
      <c r="E71" s="47">
        <v>1.1999999999999999E-3</v>
      </c>
      <c r="F71" s="47">
        <v>0.1017</v>
      </c>
      <c r="G71" s="43">
        <f t="shared" si="2"/>
        <v>-0.26650000000000001</v>
      </c>
      <c r="H71" s="48"/>
      <c r="I71" s="66">
        <v>99</v>
      </c>
    </row>
    <row r="72" spans="1:9">
      <c r="A72" s="69" t="s">
        <v>481</v>
      </c>
      <c r="B72" s="69" t="s">
        <v>480</v>
      </c>
      <c r="C72" t="s">
        <v>126</v>
      </c>
      <c r="D72" s="47">
        <v>0.31490000000000001</v>
      </c>
      <c r="E72" s="47">
        <v>1.5E-3</v>
      </c>
      <c r="F72" s="47">
        <v>0.10150000000000001</v>
      </c>
      <c r="G72" s="43">
        <f t="shared" si="2"/>
        <v>-0.26670000000000005</v>
      </c>
      <c r="H72" s="48"/>
      <c r="I72" s="57">
        <v>98</v>
      </c>
    </row>
    <row r="73" spans="1:9">
      <c r="A73" s="69" t="s">
        <v>482</v>
      </c>
      <c r="B73" s="69" t="s">
        <v>481</v>
      </c>
      <c r="C73" t="s">
        <v>263</v>
      </c>
      <c r="D73" s="47">
        <v>0.31409999999999999</v>
      </c>
      <c r="E73" s="47">
        <v>1.8E-3</v>
      </c>
      <c r="F73" s="47">
        <v>0.10340000000000001</v>
      </c>
      <c r="G73" s="43">
        <f t="shared" si="2"/>
        <v>-0.26480000000000004</v>
      </c>
      <c r="H73" s="48"/>
      <c r="I73" s="66">
        <v>97</v>
      </c>
    </row>
    <row r="74" spans="1:9">
      <c r="A74" s="69" t="s">
        <v>483</v>
      </c>
      <c r="B74" s="69" t="s">
        <v>482</v>
      </c>
      <c r="C74" t="s">
        <v>265</v>
      </c>
      <c r="D74" s="47">
        <v>0.31269999999999998</v>
      </c>
      <c r="E74" s="47">
        <v>2.5999999999999999E-3</v>
      </c>
      <c r="F74" s="47">
        <v>9.8799999999999999E-2</v>
      </c>
      <c r="G74" s="43">
        <f t="shared" si="2"/>
        <v>-0.26940000000000003</v>
      </c>
      <c r="H74" s="48"/>
      <c r="I74" s="57">
        <v>96</v>
      </c>
    </row>
    <row r="75" spans="1:9">
      <c r="A75" s="69" t="s">
        <v>484</v>
      </c>
      <c r="B75" s="69" t="s">
        <v>483</v>
      </c>
      <c r="C75" t="s">
        <v>266</v>
      </c>
      <c r="D75" s="47">
        <v>0.314</v>
      </c>
      <c r="E75" s="47">
        <v>2.2000000000000001E-3</v>
      </c>
      <c r="F75" s="47">
        <v>9.8299999999999998E-2</v>
      </c>
      <c r="G75" s="43">
        <f t="shared" si="2"/>
        <v>-0.26990000000000003</v>
      </c>
      <c r="H75" s="48"/>
      <c r="I75" s="66">
        <v>95</v>
      </c>
    </row>
    <row r="76" spans="1:9">
      <c r="A76" s="69" t="s">
        <v>485</v>
      </c>
      <c r="B76" s="69" t="s">
        <v>484</v>
      </c>
      <c r="C76" t="s">
        <v>131</v>
      </c>
      <c r="D76" s="47">
        <v>0.31209999999999999</v>
      </c>
      <c r="E76" s="47">
        <v>2E-3</v>
      </c>
      <c r="F76" s="47">
        <v>9.7900000000000001E-2</v>
      </c>
      <c r="G76" s="43">
        <f t="shared" si="2"/>
        <v>-0.27030000000000004</v>
      </c>
      <c r="H76" s="48"/>
      <c r="I76" s="57">
        <v>94</v>
      </c>
    </row>
    <row r="77" spans="1:9">
      <c r="A77" s="69" t="s">
        <v>486</v>
      </c>
      <c r="B77" s="69" t="s">
        <v>485</v>
      </c>
      <c r="C77" t="s">
        <v>143</v>
      </c>
      <c r="D77" s="47">
        <v>0.31469999999999998</v>
      </c>
      <c r="E77" s="47">
        <v>1.1999999999999999E-3</v>
      </c>
      <c r="F77" s="47">
        <v>9.8799999999999999E-2</v>
      </c>
      <c r="G77" s="43">
        <f t="shared" si="2"/>
        <v>-0.26940000000000003</v>
      </c>
      <c r="H77" s="48"/>
      <c r="I77" s="66">
        <v>93</v>
      </c>
    </row>
    <row r="78" spans="1:9">
      <c r="A78" s="69" t="s">
        <v>487</v>
      </c>
      <c r="B78" s="69" t="s">
        <v>486</v>
      </c>
      <c r="C78" t="s">
        <v>171</v>
      </c>
      <c r="D78" s="47">
        <v>0.30969999999999998</v>
      </c>
      <c r="E78" s="47">
        <v>3.5000000000000001E-3</v>
      </c>
      <c r="F78" s="47">
        <v>9.8100000000000007E-2</v>
      </c>
      <c r="G78" s="43">
        <f t="shared" si="2"/>
        <v>-0.27010000000000001</v>
      </c>
      <c r="H78" s="48"/>
      <c r="I78" s="57">
        <v>92</v>
      </c>
    </row>
    <row r="79" spans="1:9">
      <c r="A79" s="69" t="s">
        <v>488</v>
      </c>
      <c r="B79" s="69" t="s">
        <v>487</v>
      </c>
      <c r="C79" t="s">
        <v>159</v>
      </c>
      <c r="D79" s="47">
        <v>0.31209999999999999</v>
      </c>
      <c r="E79" s="47">
        <v>1.6000000000000001E-3</v>
      </c>
      <c r="F79" s="47">
        <v>9.8000000000000004E-2</v>
      </c>
      <c r="G79" s="43">
        <f t="shared" si="2"/>
        <v>-0.2702</v>
      </c>
      <c r="H79" s="48"/>
      <c r="I79" s="66">
        <v>91</v>
      </c>
    </row>
    <row r="80" spans="1:9">
      <c r="A80" s="69" t="s">
        <v>489</v>
      </c>
      <c r="B80" s="69" t="s">
        <v>488</v>
      </c>
      <c r="C80" t="s">
        <v>155</v>
      </c>
      <c r="D80" s="47">
        <v>0.30990000000000001</v>
      </c>
      <c r="E80" s="47">
        <v>2.5000000000000001E-3</v>
      </c>
      <c r="F80" s="47">
        <v>9.8699999999999996E-2</v>
      </c>
      <c r="G80" s="43">
        <f t="shared" si="2"/>
        <v>-0.26950000000000002</v>
      </c>
      <c r="H80" s="48"/>
      <c r="I80" s="57">
        <v>90</v>
      </c>
    </row>
    <row r="81" spans="1:9">
      <c r="A81" s="69" t="s">
        <v>490</v>
      </c>
      <c r="B81" s="69" t="s">
        <v>489</v>
      </c>
      <c r="C81" t="s">
        <v>156</v>
      </c>
      <c r="D81" s="47">
        <v>0.30740000000000001</v>
      </c>
      <c r="E81" s="47">
        <v>2.3999999999999998E-3</v>
      </c>
      <c r="F81" s="47">
        <v>9.8599999999999993E-2</v>
      </c>
      <c r="G81" s="43">
        <f t="shared" si="2"/>
        <v>-0.26960000000000006</v>
      </c>
      <c r="H81" s="48"/>
      <c r="I81" s="66">
        <v>89</v>
      </c>
    </row>
    <row r="82" spans="1:9">
      <c r="A82" s="69" t="s">
        <v>491</v>
      </c>
      <c r="B82" s="69" t="s">
        <v>490</v>
      </c>
      <c r="C82" t="s">
        <v>132</v>
      </c>
      <c r="D82" s="47">
        <v>0.30869999999999997</v>
      </c>
      <c r="E82" s="47">
        <v>2.3999999999999998E-3</v>
      </c>
      <c r="F82" s="47">
        <v>9.8000000000000004E-2</v>
      </c>
      <c r="G82" s="43">
        <f t="shared" si="2"/>
        <v>-0.2702</v>
      </c>
      <c r="H82" s="48"/>
      <c r="I82" s="57">
        <v>88</v>
      </c>
    </row>
    <row r="83" spans="1:9">
      <c r="A83" s="69" t="s">
        <v>492</v>
      </c>
      <c r="B83" s="69" t="s">
        <v>491</v>
      </c>
      <c r="C83" t="s">
        <v>134</v>
      </c>
      <c r="D83" s="47">
        <v>0.30759999999999998</v>
      </c>
      <c r="E83" s="47">
        <v>1.9E-3</v>
      </c>
      <c r="F83" s="47">
        <v>9.9400000000000002E-2</v>
      </c>
      <c r="G83" s="43">
        <f t="shared" si="2"/>
        <v>-0.26880000000000004</v>
      </c>
      <c r="H83" s="48"/>
      <c r="I83" s="66">
        <v>87</v>
      </c>
    </row>
    <row r="84" spans="1:9">
      <c r="A84" s="69" t="s">
        <v>493</v>
      </c>
      <c r="B84" s="69" t="s">
        <v>492</v>
      </c>
      <c r="C84" t="s">
        <v>248</v>
      </c>
      <c r="D84" s="47">
        <v>0.30070000000000002</v>
      </c>
      <c r="E84" s="47">
        <v>1.8E-3</v>
      </c>
      <c r="F84" s="47">
        <v>9.9599999999999994E-2</v>
      </c>
      <c r="G84" s="43">
        <f t="shared" si="2"/>
        <v>-0.26860000000000006</v>
      </c>
      <c r="H84" s="48"/>
      <c r="I84" s="57">
        <v>86</v>
      </c>
    </row>
    <row r="85" spans="1:9">
      <c r="A85" s="69" t="s">
        <v>494</v>
      </c>
      <c r="B85" s="69" t="s">
        <v>493</v>
      </c>
      <c r="C85" t="s">
        <v>244</v>
      </c>
      <c r="D85" s="47">
        <v>0.29709999999999998</v>
      </c>
      <c r="E85" s="47">
        <v>1E-3</v>
      </c>
      <c r="F85" s="47">
        <v>0.1011</v>
      </c>
      <c r="G85" s="43">
        <f t="shared" si="2"/>
        <v>-0.2671</v>
      </c>
      <c r="H85" s="48"/>
      <c r="I85" s="66">
        <v>85</v>
      </c>
    </row>
    <row r="86" spans="1:9">
      <c r="A86" s="69" t="s">
        <v>495</v>
      </c>
      <c r="B86" s="69" t="s">
        <v>494</v>
      </c>
      <c r="C86" t="s">
        <v>245</v>
      </c>
      <c r="D86" s="47">
        <v>0.29470000000000002</v>
      </c>
      <c r="E86" s="47">
        <v>2.8E-3</v>
      </c>
      <c r="F86" s="47">
        <v>9.9900000000000003E-2</v>
      </c>
      <c r="G86" s="43">
        <f t="shared" si="2"/>
        <v>-0.26830000000000004</v>
      </c>
      <c r="H86" s="48"/>
      <c r="I86" s="57">
        <v>84</v>
      </c>
    </row>
    <row r="87" spans="1:9">
      <c r="A87" s="69" t="s">
        <v>496</v>
      </c>
      <c r="B87" s="69" t="s">
        <v>495</v>
      </c>
      <c r="C87" t="s">
        <v>253</v>
      </c>
      <c r="D87" s="47">
        <v>0.29149999999999998</v>
      </c>
      <c r="E87" s="47">
        <v>2.5000000000000001E-3</v>
      </c>
      <c r="F87" s="47">
        <v>9.9299999999999999E-2</v>
      </c>
      <c r="G87" s="43">
        <f t="shared" si="2"/>
        <v>-0.26890000000000003</v>
      </c>
      <c r="H87" s="48"/>
      <c r="I87" s="66">
        <v>83</v>
      </c>
    </row>
    <row r="88" spans="1:9">
      <c r="A88" s="69" t="s">
        <v>497</v>
      </c>
      <c r="B88" s="69" t="s">
        <v>496</v>
      </c>
      <c r="C88" t="s">
        <v>267</v>
      </c>
      <c r="D88" s="47">
        <v>0.29010000000000002</v>
      </c>
      <c r="E88" s="47">
        <v>2.3999999999999998E-3</v>
      </c>
      <c r="F88" s="47">
        <v>9.9199999999999997E-2</v>
      </c>
      <c r="G88" s="43">
        <f t="shared" si="2"/>
        <v>-0.26900000000000002</v>
      </c>
      <c r="H88" s="48"/>
      <c r="I88" s="57">
        <v>82</v>
      </c>
    </row>
    <row r="89" spans="1:9">
      <c r="A89" s="69" t="s">
        <v>498</v>
      </c>
      <c r="B89" s="69" t="s">
        <v>497</v>
      </c>
      <c r="C89" t="s">
        <v>67</v>
      </c>
      <c r="D89" s="47">
        <v>0.28689999999999999</v>
      </c>
      <c r="E89" s="47">
        <v>1.9E-3</v>
      </c>
      <c r="F89" s="47">
        <v>9.9199999999999997E-2</v>
      </c>
      <c r="G89" s="43">
        <f t="shared" si="2"/>
        <v>-0.26900000000000002</v>
      </c>
      <c r="H89" s="48"/>
      <c r="I89" s="66">
        <v>81</v>
      </c>
    </row>
    <row r="90" spans="1:9">
      <c r="A90" s="69" t="s">
        <v>499</v>
      </c>
      <c r="B90" s="69" t="s">
        <v>498</v>
      </c>
      <c r="C90" t="s">
        <v>165</v>
      </c>
      <c r="D90" s="47">
        <v>0.28560000000000002</v>
      </c>
      <c r="E90" s="47">
        <v>2.0999999999999999E-3</v>
      </c>
      <c r="F90" s="47">
        <v>0.1003</v>
      </c>
      <c r="G90" s="43">
        <f t="shared" si="2"/>
        <v>-0.26790000000000003</v>
      </c>
      <c r="H90" s="48"/>
      <c r="I90" s="57">
        <v>80</v>
      </c>
    </row>
    <row r="91" spans="1:9">
      <c r="A91" s="69" t="s">
        <v>500</v>
      </c>
      <c r="B91" s="69" t="s">
        <v>499</v>
      </c>
      <c r="C91" t="s">
        <v>135</v>
      </c>
      <c r="D91" s="47">
        <v>0.28320000000000001</v>
      </c>
      <c r="E91" s="47">
        <v>2E-3</v>
      </c>
      <c r="F91" s="47">
        <v>9.9400000000000002E-2</v>
      </c>
      <c r="G91" s="43">
        <f t="shared" si="2"/>
        <v>-0.26880000000000004</v>
      </c>
      <c r="H91" s="48"/>
      <c r="I91" s="66">
        <v>79</v>
      </c>
    </row>
    <row r="92" spans="1:9">
      <c r="A92" s="69" t="s">
        <v>501</v>
      </c>
      <c r="B92" s="69" t="s">
        <v>500</v>
      </c>
      <c r="C92" t="s">
        <v>128</v>
      </c>
      <c r="D92" s="47">
        <v>0.28499999999999998</v>
      </c>
      <c r="E92" s="47">
        <v>1.1000000000000001E-3</v>
      </c>
      <c r="F92" s="47">
        <v>9.9599999999999994E-2</v>
      </c>
      <c r="G92" s="43">
        <f t="shared" si="2"/>
        <v>-0.26860000000000006</v>
      </c>
      <c r="H92" s="48"/>
      <c r="I92" s="57">
        <v>78</v>
      </c>
    </row>
    <row r="93" spans="1:9">
      <c r="A93" s="69" t="s">
        <v>502</v>
      </c>
      <c r="B93" s="69" t="s">
        <v>501</v>
      </c>
      <c r="C93" t="s">
        <v>130</v>
      </c>
      <c r="D93" s="47">
        <v>0.28399999999999997</v>
      </c>
      <c r="E93" s="47">
        <v>3.0999999999999999E-3</v>
      </c>
      <c r="F93" s="47">
        <v>9.9099999999999994E-2</v>
      </c>
      <c r="G93" s="43">
        <f t="shared" si="2"/>
        <v>-0.26910000000000001</v>
      </c>
      <c r="H93" s="48"/>
      <c r="I93" s="66">
        <v>77</v>
      </c>
    </row>
    <row r="94" spans="1:9">
      <c r="A94" s="69" t="s">
        <v>503</v>
      </c>
      <c r="B94" s="69" t="s">
        <v>502</v>
      </c>
      <c r="C94" t="s">
        <v>129</v>
      </c>
      <c r="D94" s="47">
        <v>0.2838</v>
      </c>
      <c r="E94" s="47">
        <v>8.9999999999999998E-4</v>
      </c>
      <c r="F94" s="47">
        <v>0.1</v>
      </c>
      <c r="G94" s="43">
        <f t="shared" si="2"/>
        <v>-0.26819999999999999</v>
      </c>
      <c r="H94" s="48"/>
      <c r="I94" s="57">
        <v>76</v>
      </c>
    </row>
    <row r="95" spans="1:9">
      <c r="A95" s="69" t="s">
        <v>504</v>
      </c>
      <c r="B95" s="69" t="s">
        <v>503</v>
      </c>
      <c r="C95" t="s">
        <v>50</v>
      </c>
      <c r="D95" s="47">
        <v>0.27560000000000001</v>
      </c>
      <c r="E95" s="47">
        <v>2.3E-3</v>
      </c>
      <c r="F95" s="47">
        <v>8.9800000000000005E-2</v>
      </c>
      <c r="G95" s="43">
        <f t="shared" si="2"/>
        <v>-0.27840000000000004</v>
      </c>
      <c r="H95" s="48" t="s">
        <v>841</v>
      </c>
      <c r="I95" s="66">
        <v>75</v>
      </c>
    </row>
    <row r="96" spans="1:9">
      <c r="A96" s="69" t="s">
        <v>505</v>
      </c>
      <c r="B96" s="69" t="s">
        <v>504</v>
      </c>
      <c r="C96" t="s">
        <v>133</v>
      </c>
      <c r="D96" s="47">
        <v>0.2747</v>
      </c>
      <c r="E96" s="47">
        <v>4.0000000000000002E-4</v>
      </c>
      <c r="F96" s="47">
        <v>8.9700000000000002E-2</v>
      </c>
      <c r="G96" s="43">
        <f t="shared" si="2"/>
        <v>-0.27850000000000003</v>
      </c>
      <c r="H96" s="48"/>
      <c r="I96" s="57">
        <v>74</v>
      </c>
    </row>
    <row r="97" spans="1:9">
      <c r="A97" s="69" t="s">
        <v>506</v>
      </c>
      <c r="B97" s="69" t="s">
        <v>505</v>
      </c>
      <c r="C97" t="s">
        <v>194</v>
      </c>
      <c r="D97" s="47">
        <v>0.26479999999999998</v>
      </c>
      <c r="E97" s="47">
        <v>2.5000000000000001E-3</v>
      </c>
      <c r="F97" s="47">
        <v>7.3400000000000007E-2</v>
      </c>
      <c r="G97" s="43">
        <f t="shared" si="2"/>
        <v>-0.29480000000000001</v>
      </c>
      <c r="H97" s="48"/>
      <c r="I97" s="66">
        <v>73</v>
      </c>
    </row>
    <row r="98" spans="1:9">
      <c r="A98" s="69" t="s">
        <v>507</v>
      </c>
      <c r="B98" s="69" t="s">
        <v>506</v>
      </c>
      <c r="C98" t="s">
        <v>157</v>
      </c>
      <c r="D98" s="47">
        <v>0.2631</v>
      </c>
      <c r="E98" s="47">
        <v>2.0999999999999999E-3</v>
      </c>
      <c r="F98" s="47">
        <v>7.3700000000000002E-2</v>
      </c>
      <c r="G98" s="43">
        <f t="shared" si="2"/>
        <v>-0.29450000000000004</v>
      </c>
      <c r="H98" s="48"/>
      <c r="I98" s="57">
        <v>72</v>
      </c>
    </row>
    <row r="99" spans="1:9">
      <c r="A99" s="69" t="s">
        <v>508</v>
      </c>
      <c r="B99" s="69" t="s">
        <v>507</v>
      </c>
      <c r="C99" t="s">
        <v>158</v>
      </c>
      <c r="D99" s="47">
        <v>0.2626</v>
      </c>
      <c r="E99" s="47">
        <v>3.8999999999999998E-3</v>
      </c>
      <c r="F99" s="47">
        <v>7.4200000000000002E-2</v>
      </c>
      <c r="G99" s="43">
        <f t="shared" ref="G99:G130" si="3">F99 - $F$2</f>
        <v>-0.29400000000000004</v>
      </c>
      <c r="H99" s="48"/>
      <c r="I99" s="66">
        <v>71</v>
      </c>
    </row>
    <row r="100" spans="1:9">
      <c r="A100" s="69" t="s">
        <v>509</v>
      </c>
      <c r="B100" s="69" t="s">
        <v>508</v>
      </c>
      <c r="C100" t="s">
        <v>113</v>
      </c>
      <c r="D100" s="47">
        <v>0.24440000000000001</v>
      </c>
      <c r="E100" s="47">
        <v>1.9E-3</v>
      </c>
      <c r="F100" s="47">
        <v>5.7000000000000002E-2</v>
      </c>
      <c r="G100" s="43">
        <f t="shared" si="3"/>
        <v>-0.31120000000000003</v>
      </c>
      <c r="H100" s="48"/>
      <c r="I100" s="57">
        <v>70</v>
      </c>
    </row>
    <row r="101" spans="1:9">
      <c r="A101" s="69" t="s">
        <v>510</v>
      </c>
      <c r="B101" s="69" t="s">
        <v>509</v>
      </c>
      <c r="C101" t="s">
        <v>160</v>
      </c>
      <c r="D101" s="47">
        <v>0.2445</v>
      </c>
      <c r="E101" s="47">
        <v>8.9999999999999998E-4</v>
      </c>
      <c r="F101" s="47">
        <v>5.8299999999999998E-2</v>
      </c>
      <c r="G101" s="43">
        <f t="shared" si="3"/>
        <v>-0.30990000000000001</v>
      </c>
      <c r="H101" s="48"/>
      <c r="I101" s="66">
        <v>69</v>
      </c>
    </row>
    <row r="102" spans="1:9">
      <c r="A102" s="69" t="s">
        <v>511</v>
      </c>
      <c r="B102" s="69" t="s">
        <v>510</v>
      </c>
      <c r="C102" t="s">
        <v>161</v>
      </c>
      <c r="D102" s="47">
        <v>0.24160000000000001</v>
      </c>
      <c r="E102" s="47">
        <v>2.0000000000000001E-4</v>
      </c>
      <c r="F102" s="47">
        <v>5.8299999999999998E-2</v>
      </c>
      <c r="G102" s="43">
        <f t="shared" si="3"/>
        <v>-0.30990000000000001</v>
      </c>
      <c r="H102" s="48"/>
      <c r="I102" s="57">
        <v>68</v>
      </c>
    </row>
    <row r="103" spans="1:9">
      <c r="A103" s="69" t="s">
        <v>512</v>
      </c>
      <c r="B103" s="69" t="s">
        <v>511</v>
      </c>
      <c r="C103" t="s">
        <v>163</v>
      </c>
      <c r="D103" s="47">
        <v>0.24249999999999999</v>
      </c>
      <c r="E103" s="47">
        <v>1.2999999999999999E-3</v>
      </c>
      <c r="F103" s="47">
        <v>5.79E-2</v>
      </c>
      <c r="G103" s="43">
        <f t="shared" si="3"/>
        <v>-0.31030000000000002</v>
      </c>
      <c r="H103" s="48"/>
      <c r="I103" s="66">
        <v>67</v>
      </c>
    </row>
    <row r="104" spans="1:9">
      <c r="A104" s="69" t="s">
        <v>513</v>
      </c>
      <c r="B104" s="69" t="s">
        <v>512</v>
      </c>
      <c r="C104" t="s">
        <v>162</v>
      </c>
      <c r="D104" s="47">
        <v>0.23780000000000001</v>
      </c>
      <c r="E104" s="47">
        <v>2.2000000000000001E-3</v>
      </c>
      <c r="F104" s="47">
        <v>5.7599999999999998E-2</v>
      </c>
      <c r="G104" s="43">
        <f t="shared" si="3"/>
        <v>-0.31060000000000004</v>
      </c>
      <c r="H104" s="48"/>
      <c r="I104" s="57">
        <v>66</v>
      </c>
    </row>
    <row r="105" spans="1:9">
      <c r="A105" s="69" t="s">
        <v>514</v>
      </c>
      <c r="B105" s="69" t="s">
        <v>513</v>
      </c>
      <c r="C105" t="s">
        <v>169</v>
      </c>
      <c r="D105" s="47">
        <v>0.23319999999999999</v>
      </c>
      <c r="E105" s="47">
        <v>1.1000000000000001E-3</v>
      </c>
      <c r="F105" s="47">
        <v>5.74E-2</v>
      </c>
      <c r="G105" s="43">
        <f t="shared" si="3"/>
        <v>-0.31080000000000002</v>
      </c>
      <c r="H105" s="48"/>
      <c r="I105" s="66">
        <v>65</v>
      </c>
    </row>
    <row r="106" spans="1:9">
      <c r="A106" s="69" t="s">
        <v>515</v>
      </c>
      <c r="B106" s="69" t="s">
        <v>514</v>
      </c>
      <c r="C106" t="s">
        <v>327</v>
      </c>
      <c r="D106" s="47">
        <v>0.22739999999999999</v>
      </c>
      <c r="E106" s="47">
        <v>8.9999999999999998E-4</v>
      </c>
      <c r="F106" s="47">
        <v>5.7500000000000002E-2</v>
      </c>
      <c r="G106" s="43">
        <f t="shared" si="3"/>
        <v>-0.31070000000000003</v>
      </c>
      <c r="H106" s="48"/>
      <c r="I106" s="57">
        <v>64</v>
      </c>
    </row>
    <row r="107" spans="1:9">
      <c r="A107" s="69" t="s">
        <v>516</v>
      </c>
      <c r="B107" s="69" t="s">
        <v>515</v>
      </c>
      <c r="C107" t="s">
        <v>177</v>
      </c>
      <c r="D107" s="47">
        <v>0.2273</v>
      </c>
      <c r="E107" s="47">
        <v>4.0000000000000002E-4</v>
      </c>
      <c r="F107" s="47">
        <v>5.7799999999999997E-2</v>
      </c>
      <c r="G107" s="43">
        <f t="shared" si="3"/>
        <v>-0.31040000000000001</v>
      </c>
      <c r="H107" s="48"/>
      <c r="I107" s="66">
        <v>63</v>
      </c>
    </row>
    <row r="108" spans="1:9">
      <c r="A108" s="69" t="s">
        <v>517</v>
      </c>
      <c r="B108" s="69" t="s">
        <v>516</v>
      </c>
      <c r="C108" t="s">
        <v>148</v>
      </c>
      <c r="D108" s="47">
        <v>0.2263</v>
      </c>
      <c r="E108" s="47">
        <v>8.0000000000000004E-4</v>
      </c>
      <c r="F108" s="47">
        <v>5.7500000000000002E-2</v>
      </c>
      <c r="G108" s="43">
        <f t="shared" si="3"/>
        <v>-0.31070000000000003</v>
      </c>
      <c r="H108" s="48"/>
      <c r="I108" s="57">
        <v>62</v>
      </c>
    </row>
    <row r="109" spans="1:9">
      <c r="A109" s="69" t="s">
        <v>518</v>
      </c>
      <c r="B109" s="69" t="s">
        <v>517</v>
      </c>
      <c r="C109" t="s">
        <v>276</v>
      </c>
      <c r="D109" s="47">
        <v>0.22650000000000001</v>
      </c>
      <c r="E109" s="47">
        <v>1.1999999999999999E-3</v>
      </c>
      <c r="F109" s="47">
        <v>5.6800000000000003E-2</v>
      </c>
      <c r="G109" s="43">
        <f t="shared" si="3"/>
        <v>-0.31140000000000001</v>
      </c>
      <c r="H109" s="48"/>
      <c r="I109" s="66">
        <v>61</v>
      </c>
    </row>
    <row r="110" spans="1:9">
      <c r="A110" s="69" t="s">
        <v>519</v>
      </c>
      <c r="B110" s="69" t="s">
        <v>518</v>
      </c>
      <c r="C110" t="s">
        <v>275</v>
      </c>
      <c r="D110" s="47">
        <v>0.22520000000000001</v>
      </c>
      <c r="E110" s="47">
        <v>1.2999999999999999E-3</v>
      </c>
      <c r="F110" s="47">
        <v>5.6599999999999998E-2</v>
      </c>
      <c r="G110" s="43">
        <f t="shared" si="3"/>
        <v>-0.31160000000000004</v>
      </c>
      <c r="H110" s="48"/>
      <c r="I110" s="57">
        <v>60</v>
      </c>
    </row>
    <row r="111" spans="1:9">
      <c r="A111" s="69" t="s">
        <v>520</v>
      </c>
      <c r="B111" s="69" t="s">
        <v>519</v>
      </c>
      <c r="C111" t="s">
        <v>136</v>
      </c>
      <c r="D111" s="47">
        <v>0.22439999999999999</v>
      </c>
      <c r="E111" s="47">
        <v>1.1000000000000001E-3</v>
      </c>
      <c r="F111" s="47">
        <v>5.62E-2</v>
      </c>
      <c r="G111" s="43">
        <f t="shared" si="3"/>
        <v>-0.31200000000000006</v>
      </c>
      <c r="H111" s="48"/>
      <c r="I111" s="66">
        <v>59</v>
      </c>
    </row>
    <row r="112" spans="1:9">
      <c r="A112" s="69" t="s">
        <v>600</v>
      </c>
      <c r="B112" s="69" t="s">
        <v>520</v>
      </c>
      <c r="C112" t="s">
        <v>164</v>
      </c>
      <c r="D112" s="47">
        <v>0.22359999999999999</v>
      </c>
      <c r="E112" s="47">
        <v>2.2000000000000001E-3</v>
      </c>
      <c r="F112" s="47">
        <v>5.6800000000000003E-2</v>
      </c>
      <c r="G112" s="43">
        <f t="shared" si="3"/>
        <v>-0.31140000000000001</v>
      </c>
      <c r="H112" s="48"/>
      <c r="I112" s="57">
        <v>58</v>
      </c>
    </row>
    <row r="113" spans="1:9">
      <c r="A113" s="69" t="s">
        <v>601</v>
      </c>
      <c r="B113" s="69" t="s">
        <v>600</v>
      </c>
      <c r="C113" t="s">
        <v>53</v>
      </c>
      <c r="D113" s="47">
        <v>0.22059999999999999</v>
      </c>
      <c r="E113" s="47">
        <v>4.0000000000000002E-4</v>
      </c>
      <c r="F113" s="47">
        <v>5.7299999999999997E-2</v>
      </c>
      <c r="G113" s="43">
        <f t="shared" si="3"/>
        <v>-0.31090000000000001</v>
      </c>
      <c r="H113" s="48"/>
      <c r="I113" s="66">
        <v>57</v>
      </c>
    </row>
    <row r="114" spans="1:9">
      <c r="A114" s="69" t="s">
        <v>602</v>
      </c>
      <c r="B114" s="69" t="s">
        <v>601</v>
      </c>
      <c r="C114" t="s">
        <v>83</v>
      </c>
      <c r="D114" s="47">
        <v>0.21690000000000001</v>
      </c>
      <c r="E114" s="47">
        <v>8.0000000000000004E-4</v>
      </c>
      <c r="F114" s="47">
        <v>5.7799999999999997E-2</v>
      </c>
      <c r="G114" s="43">
        <f t="shared" si="3"/>
        <v>-0.31040000000000001</v>
      </c>
      <c r="H114" s="48"/>
      <c r="I114" s="57">
        <v>56</v>
      </c>
    </row>
    <row r="115" spans="1:9">
      <c r="A115" s="69" t="s">
        <v>603</v>
      </c>
      <c r="B115" s="69" t="s">
        <v>602</v>
      </c>
      <c r="C115" t="s">
        <v>85</v>
      </c>
      <c r="D115" s="47">
        <v>0.2135</v>
      </c>
      <c r="E115" s="47">
        <v>1.1999999999999999E-3</v>
      </c>
      <c r="F115" s="47">
        <v>5.6500000000000002E-2</v>
      </c>
      <c r="G115" s="43">
        <f t="shared" si="3"/>
        <v>-0.31170000000000003</v>
      </c>
      <c r="H115" s="48"/>
      <c r="I115" s="66">
        <v>55</v>
      </c>
    </row>
    <row r="116" spans="1:9">
      <c r="A116" s="69" t="s">
        <v>604</v>
      </c>
      <c r="B116" s="69" t="s">
        <v>603</v>
      </c>
      <c r="C116" t="s">
        <v>87</v>
      </c>
      <c r="D116" s="47">
        <v>0.2072</v>
      </c>
      <c r="E116" s="47">
        <v>1.4E-3</v>
      </c>
      <c r="F116" s="47">
        <v>5.2699999999999997E-2</v>
      </c>
      <c r="G116" s="43">
        <f t="shared" si="3"/>
        <v>-0.3155</v>
      </c>
      <c r="H116" s="48"/>
      <c r="I116" s="57">
        <v>54</v>
      </c>
    </row>
    <row r="117" spans="1:9">
      <c r="A117" s="69" t="s">
        <v>605</v>
      </c>
      <c r="B117" s="69" t="s">
        <v>604</v>
      </c>
      <c r="C117" t="s">
        <v>234</v>
      </c>
      <c r="D117" s="47">
        <v>0.20680000000000001</v>
      </c>
      <c r="E117" s="47">
        <v>2.5999999999999999E-3</v>
      </c>
      <c r="F117" s="47">
        <v>5.2400000000000002E-2</v>
      </c>
      <c r="G117" s="43">
        <f t="shared" si="3"/>
        <v>-0.31580000000000003</v>
      </c>
      <c r="H117" s="48"/>
      <c r="I117" s="66">
        <v>53</v>
      </c>
    </row>
    <row r="118" spans="1:9">
      <c r="A118" s="69" t="s">
        <v>606</v>
      </c>
      <c r="B118" s="69" t="s">
        <v>605</v>
      </c>
      <c r="C118" t="s">
        <v>277</v>
      </c>
      <c r="D118" s="47">
        <v>0.20699999999999999</v>
      </c>
      <c r="E118" s="47">
        <v>2.5000000000000001E-3</v>
      </c>
      <c r="F118" s="47">
        <v>5.2900000000000003E-2</v>
      </c>
      <c r="G118" s="43">
        <f t="shared" si="3"/>
        <v>-0.31530000000000002</v>
      </c>
      <c r="H118" s="48"/>
      <c r="I118" s="57">
        <v>52</v>
      </c>
    </row>
    <row r="119" spans="1:9">
      <c r="A119" s="69" t="s">
        <v>607</v>
      </c>
      <c r="B119" s="69" t="s">
        <v>606</v>
      </c>
      <c r="C119" t="s">
        <v>190</v>
      </c>
      <c r="D119" s="47">
        <v>0.1933</v>
      </c>
      <c r="E119" s="47">
        <v>1.4E-3</v>
      </c>
      <c r="F119" s="47">
        <v>5.0099999999999999E-2</v>
      </c>
      <c r="G119" s="43">
        <f t="shared" si="3"/>
        <v>-0.31810000000000005</v>
      </c>
      <c r="H119" s="48"/>
      <c r="I119" s="66">
        <v>51</v>
      </c>
    </row>
    <row r="120" spans="1:9">
      <c r="A120" s="69" t="s">
        <v>608</v>
      </c>
      <c r="B120" s="69" t="s">
        <v>607</v>
      </c>
      <c r="C120" t="s">
        <v>166</v>
      </c>
      <c r="D120" s="47">
        <v>0.1925</v>
      </c>
      <c r="E120" s="47">
        <v>2.5999999999999999E-3</v>
      </c>
      <c r="F120" s="47">
        <v>4.9299999999999997E-2</v>
      </c>
      <c r="G120" s="43">
        <f t="shared" si="3"/>
        <v>-0.31890000000000002</v>
      </c>
      <c r="H120" s="48"/>
      <c r="I120" s="57">
        <v>50</v>
      </c>
    </row>
    <row r="121" spans="1:9">
      <c r="A121" s="69" t="s">
        <v>609</v>
      </c>
      <c r="B121" s="69" t="s">
        <v>608</v>
      </c>
      <c r="C121" t="s">
        <v>139</v>
      </c>
      <c r="D121" s="47">
        <v>0.1913</v>
      </c>
      <c r="E121" s="47">
        <v>2.3E-3</v>
      </c>
      <c r="F121" s="47">
        <v>4.9200000000000001E-2</v>
      </c>
      <c r="G121" s="43">
        <f t="shared" si="3"/>
        <v>-0.31900000000000001</v>
      </c>
      <c r="H121" s="48"/>
      <c r="I121" s="66">
        <v>49</v>
      </c>
    </row>
    <row r="122" spans="1:9">
      <c r="A122" s="69" t="s">
        <v>610</v>
      </c>
      <c r="B122" s="69" t="s">
        <v>609</v>
      </c>
      <c r="C122" t="s">
        <v>262</v>
      </c>
      <c r="D122" s="47">
        <v>0.18820000000000001</v>
      </c>
      <c r="E122" s="47">
        <v>2.8E-3</v>
      </c>
      <c r="F122" s="47">
        <v>4.9299999999999997E-2</v>
      </c>
      <c r="G122" s="43">
        <f t="shared" si="3"/>
        <v>-0.31890000000000002</v>
      </c>
      <c r="H122" s="48"/>
      <c r="I122" s="57">
        <v>48</v>
      </c>
    </row>
    <row r="123" spans="1:9">
      <c r="A123" s="69" t="s">
        <v>611</v>
      </c>
      <c r="B123" s="69" t="s">
        <v>610</v>
      </c>
      <c r="C123" t="s">
        <v>283</v>
      </c>
      <c r="D123" s="47">
        <v>0.1888</v>
      </c>
      <c r="E123" s="47">
        <v>2.7000000000000001E-3</v>
      </c>
      <c r="F123" s="47">
        <v>4.9399999999999999E-2</v>
      </c>
      <c r="G123" s="43">
        <f t="shared" si="3"/>
        <v>-0.31880000000000003</v>
      </c>
      <c r="H123" s="48"/>
      <c r="I123" s="66">
        <v>47</v>
      </c>
    </row>
    <row r="124" spans="1:9">
      <c r="A124" s="69" t="s">
        <v>612</v>
      </c>
      <c r="B124" s="69" t="s">
        <v>611</v>
      </c>
      <c r="C124" t="s">
        <v>172</v>
      </c>
      <c r="D124" s="47">
        <v>0.189</v>
      </c>
      <c r="E124" s="47">
        <v>2.5000000000000001E-3</v>
      </c>
      <c r="F124" s="47">
        <v>5.0099999999999999E-2</v>
      </c>
      <c r="G124" s="43">
        <f t="shared" si="3"/>
        <v>-0.31810000000000005</v>
      </c>
      <c r="H124" s="48"/>
      <c r="I124" s="57">
        <v>46</v>
      </c>
    </row>
    <row r="125" spans="1:9">
      <c r="A125" s="69" t="s">
        <v>613</v>
      </c>
      <c r="B125" s="69" t="s">
        <v>612</v>
      </c>
      <c r="C125" t="s">
        <v>92</v>
      </c>
      <c r="D125" s="47">
        <v>0.1845</v>
      </c>
      <c r="E125" s="47">
        <v>3.0000000000000001E-3</v>
      </c>
      <c r="F125" s="47">
        <v>4.9299999999999997E-2</v>
      </c>
      <c r="G125" s="43">
        <f t="shared" si="3"/>
        <v>-0.31890000000000002</v>
      </c>
      <c r="H125" s="48"/>
      <c r="I125" s="66">
        <v>45</v>
      </c>
    </row>
    <row r="126" spans="1:9">
      <c r="A126" s="69" t="s">
        <v>614</v>
      </c>
      <c r="B126" s="69" t="s">
        <v>613</v>
      </c>
      <c r="C126" t="s">
        <v>285</v>
      </c>
      <c r="D126" s="47">
        <v>0.18290000000000001</v>
      </c>
      <c r="E126" s="47">
        <v>2.8999999999999998E-3</v>
      </c>
      <c r="F126" s="47">
        <v>4.9500000000000002E-2</v>
      </c>
      <c r="G126" s="43">
        <f t="shared" si="3"/>
        <v>-0.31870000000000004</v>
      </c>
      <c r="H126" s="48"/>
      <c r="I126" s="57">
        <v>44</v>
      </c>
    </row>
    <row r="127" spans="1:9">
      <c r="A127" s="69" t="s">
        <v>615</v>
      </c>
      <c r="B127" s="69" t="s">
        <v>614</v>
      </c>
      <c r="C127" t="s">
        <v>146</v>
      </c>
      <c r="D127" s="47">
        <v>0.1817</v>
      </c>
      <c r="E127" s="47">
        <v>2.3E-3</v>
      </c>
      <c r="F127" s="47">
        <v>4.9099999999999998E-2</v>
      </c>
      <c r="G127" s="43">
        <f t="shared" si="3"/>
        <v>-0.31910000000000005</v>
      </c>
      <c r="H127" s="48"/>
      <c r="I127" s="66">
        <v>43</v>
      </c>
    </row>
    <row r="128" spans="1:9">
      <c r="A128" s="69" t="s">
        <v>616</v>
      </c>
      <c r="B128" s="69" t="s">
        <v>615</v>
      </c>
      <c r="C128" t="s">
        <v>279</v>
      </c>
      <c r="D128" s="47">
        <v>0.17680000000000001</v>
      </c>
      <c r="E128" s="47">
        <v>2.8999999999999998E-3</v>
      </c>
      <c r="F128" s="47">
        <v>4.9299999999999997E-2</v>
      </c>
      <c r="G128" s="43">
        <f t="shared" si="3"/>
        <v>-0.31890000000000002</v>
      </c>
      <c r="H128" s="48"/>
      <c r="I128" s="57">
        <v>42</v>
      </c>
    </row>
    <row r="129" spans="1:9">
      <c r="A129" s="69" t="s">
        <v>617</v>
      </c>
      <c r="B129" s="69" t="s">
        <v>616</v>
      </c>
      <c r="C129" t="s">
        <v>149</v>
      </c>
      <c r="D129" s="47">
        <v>0.17610000000000001</v>
      </c>
      <c r="E129" s="47">
        <v>2.8999999999999998E-3</v>
      </c>
      <c r="F129" s="47">
        <v>4.9299999999999997E-2</v>
      </c>
      <c r="G129" s="43">
        <f t="shared" si="3"/>
        <v>-0.31890000000000002</v>
      </c>
      <c r="H129" s="48"/>
      <c r="I129" s="66">
        <v>41</v>
      </c>
    </row>
    <row r="130" spans="1:9">
      <c r="A130" s="69" t="s">
        <v>618</v>
      </c>
      <c r="B130" s="69" t="s">
        <v>617</v>
      </c>
      <c r="C130" t="s">
        <v>178</v>
      </c>
      <c r="D130" s="47">
        <v>0.17660000000000001</v>
      </c>
      <c r="E130" s="47">
        <v>2.7000000000000001E-3</v>
      </c>
      <c r="F130" s="47">
        <v>4.8899999999999999E-2</v>
      </c>
      <c r="G130" s="43">
        <f t="shared" si="3"/>
        <v>-0.31930000000000003</v>
      </c>
      <c r="H130" s="48"/>
      <c r="I130" s="57">
        <v>40</v>
      </c>
    </row>
    <row r="131" spans="1:9">
      <c r="A131" s="69" t="s">
        <v>619</v>
      </c>
      <c r="B131" s="69" t="s">
        <v>618</v>
      </c>
      <c r="C131" t="s">
        <v>281</v>
      </c>
      <c r="D131" s="47">
        <v>0.17510000000000001</v>
      </c>
      <c r="E131" s="47">
        <v>2.2000000000000001E-3</v>
      </c>
      <c r="F131" s="47">
        <v>4.87E-2</v>
      </c>
      <c r="G131" s="43">
        <f t="shared" ref="G131:G162" si="4">F131 - $F$2</f>
        <v>-0.31950000000000001</v>
      </c>
      <c r="H131" s="48"/>
      <c r="I131" s="66">
        <v>39</v>
      </c>
    </row>
    <row r="132" spans="1:9">
      <c r="A132" s="69" t="s">
        <v>620</v>
      </c>
      <c r="B132" s="69" t="s">
        <v>619</v>
      </c>
      <c r="C132" t="s">
        <v>288</v>
      </c>
      <c r="D132" s="47">
        <v>0.1754</v>
      </c>
      <c r="E132" s="47">
        <v>2.3E-3</v>
      </c>
      <c r="F132" s="47">
        <v>4.8300000000000003E-2</v>
      </c>
      <c r="G132" s="43">
        <f t="shared" si="4"/>
        <v>-0.31990000000000002</v>
      </c>
      <c r="H132" s="48"/>
      <c r="I132" s="57">
        <v>38</v>
      </c>
    </row>
    <row r="133" spans="1:9">
      <c r="A133" s="69" t="s">
        <v>621</v>
      </c>
      <c r="B133" s="69" t="s">
        <v>620</v>
      </c>
      <c r="C133" t="s">
        <v>150</v>
      </c>
      <c r="D133" s="47">
        <v>0.17519999999999999</v>
      </c>
      <c r="E133" s="47">
        <v>2.7000000000000001E-3</v>
      </c>
      <c r="F133" s="47">
        <v>4.8399999999999999E-2</v>
      </c>
      <c r="G133" s="43">
        <f t="shared" si="4"/>
        <v>-0.31980000000000003</v>
      </c>
      <c r="H133" s="48"/>
      <c r="I133" s="66">
        <v>37</v>
      </c>
    </row>
    <row r="134" spans="1:9">
      <c r="A134" s="69" t="s">
        <v>622</v>
      </c>
      <c r="B134" s="69" t="s">
        <v>621</v>
      </c>
      <c r="C134" t="s">
        <v>179</v>
      </c>
      <c r="D134" s="47">
        <v>0.17319999999999999</v>
      </c>
      <c r="E134" s="47">
        <v>2.8E-3</v>
      </c>
      <c r="F134" s="47">
        <v>4.6899999999999997E-2</v>
      </c>
      <c r="G134" s="43">
        <f t="shared" si="4"/>
        <v>-0.32130000000000003</v>
      </c>
      <c r="H134" s="48"/>
      <c r="I134" s="57">
        <v>36</v>
      </c>
    </row>
    <row r="135" spans="1:9">
      <c r="A135" s="69" t="s">
        <v>623</v>
      </c>
      <c r="B135" s="69" t="s">
        <v>622</v>
      </c>
      <c r="C135" t="s">
        <v>293</v>
      </c>
      <c r="D135" s="47">
        <v>0.16259999999999999</v>
      </c>
      <c r="E135" s="47">
        <v>2.0999999999999999E-3</v>
      </c>
      <c r="F135" s="47">
        <v>4.5499999999999999E-2</v>
      </c>
      <c r="G135" s="43">
        <f t="shared" si="4"/>
        <v>-0.32270000000000004</v>
      </c>
      <c r="H135" s="48"/>
      <c r="I135" s="66">
        <v>35</v>
      </c>
    </row>
    <row r="136" spans="1:9">
      <c r="A136" s="69" t="s">
        <v>624</v>
      </c>
      <c r="B136" s="69" t="s">
        <v>623</v>
      </c>
      <c r="C136" t="s">
        <v>88</v>
      </c>
      <c r="D136" s="47">
        <v>0.1585</v>
      </c>
      <c r="E136" s="47">
        <v>8.0000000000000004E-4</v>
      </c>
      <c r="F136" s="47">
        <v>4.5100000000000001E-2</v>
      </c>
      <c r="G136" s="43">
        <f t="shared" si="4"/>
        <v>-0.32310000000000005</v>
      </c>
      <c r="H136" s="48"/>
      <c r="I136" s="57">
        <v>34</v>
      </c>
    </row>
    <row r="137" spans="1:9">
      <c r="A137" s="69" t="s">
        <v>625</v>
      </c>
      <c r="B137" s="69" t="s">
        <v>624</v>
      </c>
      <c r="C137" t="s">
        <v>339</v>
      </c>
      <c r="D137" s="47">
        <v>0.15820000000000001</v>
      </c>
      <c r="E137" s="47">
        <v>5.9999999999999995E-4</v>
      </c>
      <c r="F137" s="47">
        <v>4.4900000000000002E-2</v>
      </c>
      <c r="G137" s="43">
        <f t="shared" si="4"/>
        <v>-0.32330000000000003</v>
      </c>
      <c r="H137" s="48"/>
      <c r="I137" s="66">
        <v>33</v>
      </c>
    </row>
    <row r="138" spans="1:9">
      <c r="A138" s="69" t="s">
        <v>626</v>
      </c>
      <c r="B138" s="69" t="s">
        <v>625</v>
      </c>
      <c r="C138" t="s">
        <v>124</v>
      </c>
      <c r="D138" s="47">
        <v>0.1583</v>
      </c>
      <c r="E138" s="47">
        <v>1.4E-3</v>
      </c>
      <c r="F138" s="47">
        <v>4.4699999999999997E-2</v>
      </c>
      <c r="G138" s="43">
        <f t="shared" si="4"/>
        <v>-0.32350000000000001</v>
      </c>
      <c r="H138" s="48"/>
      <c r="I138" s="57">
        <v>32</v>
      </c>
    </row>
    <row r="139" spans="1:9">
      <c r="A139" s="69" t="s">
        <v>627</v>
      </c>
      <c r="B139" s="69" t="s">
        <v>626</v>
      </c>
      <c r="C139" t="s">
        <v>93</v>
      </c>
      <c r="D139" s="47">
        <v>0.157</v>
      </c>
      <c r="E139" s="47">
        <v>1E-3</v>
      </c>
      <c r="F139" s="47">
        <v>4.3799999999999999E-2</v>
      </c>
      <c r="G139" s="43">
        <f t="shared" si="4"/>
        <v>-0.32440000000000002</v>
      </c>
      <c r="H139" s="48"/>
      <c r="I139" s="66">
        <v>31</v>
      </c>
    </row>
    <row r="140" spans="1:9">
      <c r="A140" s="69" t="s">
        <v>628</v>
      </c>
      <c r="B140" s="69" t="s">
        <v>627</v>
      </c>
      <c r="C140" t="s">
        <v>114</v>
      </c>
      <c r="D140" s="47">
        <v>0.14560000000000001</v>
      </c>
      <c r="E140" s="47">
        <v>1.1000000000000001E-3</v>
      </c>
      <c r="F140" s="47">
        <v>3.7199999999999997E-2</v>
      </c>
      <c r="G140" s="43">
        <f t="shared" si="4"/>
        <v>-0.33100000000000002</v>
      </c>
      <c r="H140" s="48"/>
      <c r="I140" s="57">
        <v>30</v>
      </c>
    </row>
    <row r="141" spans="1:9">
      <c r="A141" s="69" t="s">
        <v>629</v>
      </c>
      <c r="B141" s="69" t="s">
        <v>628</v>
      </c>
      <c r="C141" t="s">
        <v>151</v>
      </c>
      <c r="D141" s="47">
        <v>0.14480000000000001</v>
      </c>
      <c r="E141" s="47">
        <v>1.1000000000000001E-3</v>
      </c>
      <c r="F141" s="47">
        <v>3.73E-2</v>
      </c>
      <c r="G141" s="43">
        <f t="shared" si="4"/>
        <v>-0.33090000000000003</v>
      </c>
      <c r="H141" s="48"/>
      <c r="I141" s="66">
        <v>29</v>
      </c>
    </row>
    <row r="142" spans="1:9">
      <c r="A142" s="69" t="s">
        <v>630</v>
      </c>
      <c r="B142" s="69" t="s">
        <v>629</v>
      </c>
      <c r="C142" t="s">
        <v>54</v>
      </c>
      <c r="D142" s="47">
        <v>0.14080000000000001</v>
      </c>
      <c r="E142" s="47">
        <v>1.1000000000000001E-3</v>
      </c>
      <c r="F142" s="47">
        <v>3.73E-2</v>
      </c>
      <c r="G142" s="43">
        <f t="shared" si="4"/>
        <v>-0.33090000000000003</v>
      </c>
      <c r="H142" s="48"/>
      <c r="I142" s="57">
        <v>28</v>
      </c>
    </row>
    <row r="143" spans="1:9">
      <c r="A143" s="69" t="s">
        <v>631</v>
      </c>
      <c r="B143" s="69" t="s">
        <v>630</v>
      </c>
      <c r="C143" t="s">
        <v>264</v>
      </c>
      <c r="D143" s="47">
        <v>0.13780000000000001</v>
      </c>
      <c r="E143" s="47">
        <v>1.6000000000000001E-3</v>
      </c>
      <c r="F143" s="47">
        <v>3.8399999999999997E-2</v>
      </c>
      <c r="G143" s="43">
        <f t="shared" si="4"/>
        <v>-0.32980000000000004</v>
      </c>
      <c r="H143" s="48"/>
      <c r="I143" s="66">
        <v>27</v>
      </c>
    </row>
    <row r="144" spans="1:9">
      <c r="A144" s="69" t="s">
        <v>632</v>
      </c>
      <c r="B144" s="69" t="s">
        <v>631</v>
      </c>
      <c r="C144" t="s">
        <v>204</v>
      </c>
      <c r="D144" s="47">
        <v>0.1358</v>
      </c>
      <c r="E144" s="47">
        <v>2.0999999999999999E-3</v>
      </c>
      <c r="F144" s="47">
        <v>3.7900000000000003E-2</v>
      </c>
      <c r="G144" s="43">
        <f t="shared" si="4"/>
        <v>-0.33030000000000004</v>
      </c>
      <c r="H144" s="48"/>
      <c r="I144" s="57">
        <v>26</v>
      </c>
    </row>
    <row r="145" spans="1:9">
      <c r="A145" s="69" t="s">
        <v>633</v>
      </c>
      <c r="B145" s="69" t="s">
        <v>632</v>
      </c>
      <c r="C145" t="s">
        <v>332</v>
      </c>
      <c r="D145" s="47">
        <v>0.1353</v>
      </c>
      <c r="E145" s="47">
        <v>1.9E-3</v>
      </c>
      <c r="F145" s="47">
        <v>3.7499999999999999E-2</v>
      </c>
      <c r="G145" s="43">
        <f t="shared" si="4"/>
        <v>-0.33070000000000005</v>
      </c>
      <c r="H145" s="48"/>
      <c r="I145" s="66">
        <v>25</v>
      </c>
    </row>
    <row r="146" spans="1:9">
      <c r="A146" s="69" t="s">
        <v>634</v>
      </c>
      <c r="B146" s="69" t="s">
        <v>633</v>
      </c>
      <c r="C146" t="s">
        <v>333</v>
      </c>
      <c r="D146" s="47">
        <v>0.1328</v>
      </c>
      <c r="E146" s="47">
        <v>1.9E-3</v>
      </c>
      <c r="F146" s="47">
        <v>3.73E-2</v>
      </c>
      <c r="G146" s="43">
        <f t="shared" si="4"/>
        <v>-0.33090000000000003</v>
      </c>
      <c r="H146" s="48"/>
      <c r="I146" s="57">
        <v>24</v>
      </c>
    </row>
    <row r="147" spans="1:9">
      <c r="A147" s="69" t="s">
        <v>635</v>
      </c>
      <c r="B147" s="69" t="s">
        <v>634</v>
      </c>
      <c r="C147" t="s">
        <v>115</v>
      </c>
      <c r="D147" s="47">
        <v>0.13109999999999999</v>
      </c>
      <c r="E147" s="47">
        <v>1.5E-3</v>
      </c>
      <c r="F147" s="47">
        <v>3.2800000000000003E-2</v>
      </c>
      <c r="G147" s="43">
        <f t="shared" si="4"/>
        <v>-0.33540000000000003</v>
      </c>
      <c r="H147" s="48"/>
      <c r="I147" s="66">
        <v>23</v>
      </c>
    </row>
    <row r="148" spans="1:9">
      <c r="A148" s="69" t="s">
        <v>636</v>
      </c>
      <c r="B148" s="69" t="s">
        <v>635</v>
      </c>
      <c r="C148" t="s">
        <v>117</v>
      </c>
      <c r="D148" s="47">
        <v>0.128</v>
      </c>
      <c r="E148" s="47">
        <v>1.5E-3</v>
      </c>
      <c r="F148" s="47">
        <v>2.8799999999999999E-2</v>
      </c>
      <c r="G148" s="43">
        <f t="shared" si="4"/>
        <v>-0.33940000000000003</v>
      </c>
      <c r="H148" s="48"/>
      <c r="I148" s="57">
        <v>22</v>
      </c>
    </row>
    <row r="149" spans="1:9">
      <c r="A149" s="69" t="s">
        <v>637</v>
      </c>
      <c r="B149" s="69" t="s">
        <v>636</v>
      </c>
      <c r="C149" t="s">
        <v>90</v>
      </c>
      <c r="D149" s="47">
        <v>0.12720000000000001</v>
      </c>
      <c r="E149" s="47">
        <v>1.2999999999999999E-3</v>
      </c>
      <c r="F149" s="47">
        <v>2.92E-2</v>
      </c>
      <c r="G149" s="43">
        <f t="shared" si="4"/>
        <v>-0.33900000000000002</v>
      </c>
      <c r="H149" s="48"/>
      <c r="I149" s="66">
        <v>21</v>
      </c>
    </row>
    <row r="150" spans="1:9">
      <c r="A150" s="69" t="s">
        <v>638</v>
      </c>
      <c r="B150" s="69" t="s">
        <v>637</v>
      </c>
      <c r="C150" t="s">
        <v>99</v>
      </c>
      <c r="D150" s="47">
        <v>0.12670000000000001</v>
      </c>
      <c r="E150" s="47">
        <v>1.2999999999999999E-3</v>
      </c>
      <c r="F150" s="47">
        <v>2.92E-2</v>
      </c>
      <c r="G150" s="43">
        <f t="shared" si="4"/>
        <v>-0.33900000000000002</v>
      </c>
      <c r="H150" s="48"/>
      <c r="I150" s="57">
        <v>20</v>
      </c>
    </row>
    <row r="151" spans="1:9">
      <c r="A151" s="69" t="s">
        <v>639</v>
      </c>
      <c r="B151" s="69" t="s">
        <v>638</v>
      </c>
      <c r="C151" t="s">
        <v>26</v>
      </c>
      <c r="D151" s="47">
        <v>0.125</v>
      </c>
      <c r="E151" s="47">
        <v>1E-3</v>
      </c>
      <c r="F151" s="47">
        <v>2.8899999999999999E-2</v>
      </c>
      <c r="G151" s="43">
        <f t="shared" si="4"/>
        <v>-0.33930000000000005</v>
      </c>
      <c r="H151" s="48"/>
      <c r="I151" s="66">
        <v>19</v>
      </c>
    </row>
    <row r="152" spans="1:9">
      <c r="A152" s="69" t="s">
        <v>640</v>
      </c>
      <c r="B152" s="69" t="s">
        <v>639</v>
      </c>
      <c r="C152" t="s">
        <v>119</v>
      </c>
      <c r="D152" s="47">
        <v>0.1205</v>
      </c>
      <c r="E152" s="47">
        <v>1E-3</v>
      </c>
      <c r="F152" s="47">
        <v>2.3800000000000002E-2</v>
      </c>
      <c r="G152" s="43">
        <f t="shared" si="4"/>
        <v>-0.34440000000000004</v>
      </c>
      <c r="H152" s="48"/>
      <c r="I152" s="57">
        <v>18</v>
      </c>
    </row>
    <row r="153" spans="1:9">
      <c r="A153" s="69" t="s">
        <v>641</v>
      </c>
      <c r="B153" s="69" t="s">
        <v>640</v>
      </c>
      <c r="C153" t="s">
        <v>180</v>
      </c>
      <c r="D153" s="47">
        <v>0.1201</v>
      </c>
      <c r="E153" s="47">
        <v>6.9999999999999999E-4</v>
      </c>
      <c r="F153" s="47">
        <v>2.3699999999999999E-2</v>
      </c>
      <c r="G153" s="43">
        <f t="shared" si="4"/>
        <v>-0.34450000000000003</v>
      </c>
      <c r="H153" s="48"/>
      <c r="I153" s="66">
        <v>17</v>
      </c>
    </row>
    <row r="154" spans="1:9">
      <c r="A154" s="69" t="s">
        <v>642</v>
      </c>
      <c r="B154" s="69" t="s">
        <v>641</v>
      </c>
      <c r="C154" t="s">
        <v>181</v>
      </c>
      <c r="D154" s="47">
        <v>0.1179</v>
      </c>
      <c r="E154" s="47">
        <v>6.9999999999999999E-4</v>
      </c>
      <c r="F154" s="47">
        <v>2.3300000000000001E-2</v>
      </c>
      <c r="G154" s="43">
        <f t="shared" si="4"/>
        <v>-0.34490000000000004</v>
      </c>
      <c r="H154" s="48"/>
      <c r="I154" s="57">
        <v>16</v>
      </c>
    </row>
    <row r="155" spans="1:9">
      <c r="A155" s="69" t="s">
        <v>643</v>
      </c>
      <c r="B155" s="69" t="s">
        <v>642</v>
      </c>
      <c r="C155" t="s">
        <v>109</v>
      </c>
      <c r="D155" s="47">
        <v>0.1147</v>
      </c>
      <c r="E155" s="47">
        <v>5.0000000000000001E-4</v>
      </c>
      <c r="F155" s="47">
        <v>2.3300000000000001E-2</v>
      </c>
      <c r="G155" s="43">
        <f t="shared" si="4"/>
        <v>-0.34490000000000004</v>
      </c>
      <c r="H155" s="48"/>
      <c r="I155" s="66">
        <v>15</v>
      </c>
    </row>
    <row r="156" spans="1:9">
      <c r="A156" s="69" t="s">
        <v>644</v>
      </c>
      <c r="B156" s="69" t="s">
        <v>643</v>
      </c>
      <c r="C156" t="s">
        <v>55</v>
      </c>
      <c r="D156" s="47">
        <v>0.1144</v>
      </c>
      <c r="E156" s="47">
        <v>6.9999999999999999E-4</v>
      </c>
      <c r="F156" s="47">
        <v>2.3400000000000001E-2</v>
      </c>
      <c r="G156" s="43">
        <f t="shared" si="4"/>
        <v>-0.34480000000000005</v>
      </c>
      <c r="H156" s="48"/>
      <c r="I156" s="57">
        <v>14</v>
      </c>
    </row>
    <row r="157" spans="1:9">
      <c r="A157" s="69" t="s">
        <v>645</v>
      </c>
      <c r="B157" s="69" t="s">
        <v>644</v>
      </c>
      <c r="C157" t="s">
        <v>56</v>
      </c>
      <c r="D157" s="47">
        <v>0.1137</v>
      </c>
      <c r="E157" s="47">
        <v>8.0000000000000004E-4</v>
      </c>
      <c r="F157" s="47">
        <v>2.35E-2</v>
      </c>
      <c r="G157" s="43">
        <f t="shared" si="4"/>
        <v>-0.34470000000000001</v>
      </c>
      <c r="H157" s="48"/>
      <c r="I157" s="66">
        <v>13</v>
      </c>
    </row>
    <row r="158" spans="1:9">
      <c r="A158" s="69" t="s">
        <v>646</v>
      </c>
      <c r="B158" s="69" t="s">
        <v>645</v>
      </c>
      <c r="C158" t="s">
        <v>57</v>
      </c>
      <c r="D158" s="47">
        <v>0.11310000000000001</v>
      </c>
      <c r="E158" s="47">
        <v>8.0000000000000004E-4</v>
      </c>
      <c r="F158" s="47">
        <v>2.3E-2</v>
      </c>
      <c r="G158" s="43">
        <f t="shared" si="4"/>
        <v>-0.34520000000000001</v>
      </c>
      <c r="H158" s="48"/>
      <c r="I158" s="57">
        <v>12</v>
      </c>
    </row>
    <row r="159" spans="1:9">
      <c r="A159" s="69" t="s">
        <v>647</v>
      </c>
      <c r="B159" s="69" t="s">
        <v>646</v>
      </c>
      <c r="C159" t="s">
        <v>58</v>
      </c>
      <c r="D159" s="47">
        <v>0.10920000000000001</v>
      </c>
      <c r="E159" s="47">
        <v>5.0000000000000001E-4</v>
      </c>
      <c r="F159" s="47">
        <v>2.29E-2</v>
      </c>
      <c r="G159" s="43">
        <f t="shared" si="4"/>
        <v>-0.34530000000000005</v>
      </c>
      <c r="H159" s="48"/>
      <c r="I159" s="66">
        <v>11</v>
      </c>
    </row>
    <row r="160" spans="1:9">
      <c r="A160" s="69" t="s">
        <v>648</v>
      </c>
      <c r="B160" s="69" t="s">
        <v>647</v>
      </c>
      <c r="C160" t="s">
        <v>205</v>
      </c>
      <c r="D160" s="47">
        <v>0.1071</v>
      </c>
      <c r="E160" s="47">
        <v>4.0000000000000002E-4</v>
      </c>
      <c r="F160" s="47">
        <v>2.2800000000000001E-2</v>
      </c>
      <c r="G160" s="43">
        <f t="shared" si="4"/>
        <v>-0.34540000000000004</v>
      </c>
      <c r="H160" s="48"/>
      <c r="I160" s="57">
        <v>10</v>
      </c>
    </row>
    <row r="161" spans="1:9">
      <c r="A161" s="69" t="s">
        <v>649</v>
      </c>
      <c r="B161" s="69" t="s">
        <v>648</v>
      </c>
      <c r="C161" t="s">
        <v>195</v>
      </c>
      <c r="D161" s="47">
        <v>0.1027</v>
      </c>
      <c r="E161" s="47">
        <v>6.9999999999999999E-4</v>
      </c>
      <c r="F161" s="47">
        <v>1.7999999999999999E-2</v>
      </c>
      <c r="G161" s="43">
        <f t="shared" si="4"/>
        <v>-0.35020000000000001</v>
      </c>
      <c r="H161" s="48"/>
      <c r="I161" s="66">
        <v>9</v>
      </c>
    </row>
    <row r="162" spans="1:9">
      <c r="A162" s="69" t="s">
        <v>650</v>
      </c>
      <c r="B162" s="69" t="s">
        <v>649</v>
      </c>
      <c r="C162" t="s">
        <v>60</v>
      </c>
      <c r="D162" s="47">
        <v>9.9199999999999997E-2</v>
      </c>
      <c r="E162" s="47">
        <v>4.0000000000000002E-4</v>
      </c>
      <c r="F162" s="47">
        <v>1.7399999999999999E-2</v>
      </c>
      <c r="G162" s="43">
        <f t="shared" si="4"/>
        <v>-0.3508</v>
      </c>
      <c r="H162" s="48"/>
      <c r="I162" s="57">
        <v>8</v>
      </c>
    </row>
    <row r="163" spans="1:9">
      <c r="A163" s="69" t="s">
        <v>651</v>
      </c>
      <c r="B163" s="69" t="s">
        <v>650</v>
      </c>
      <c r="C163" t="s">
        <v>123</v>
      </c>
      <c r="D163" s="47">
        <v>9.8400000000000001E-2</v>
      </c>
      <c r="E163" s="47">
        <v>1E-4</v>
      </c>
      <c r="F163" s="47">
        <v>1.2800000000000001E-2</v>
      </c>
      <c r="G163" s="43">
        <f t="shared" ref="G163:G194" si="5">F163 - $F$2</f>
        <v>-0.35540000000000005</v>
      </c>
      <c r="H163" s="48"/>
      <c r="I163" s="66">
        <v>7</v>
      </c>
    </row>
    <row r="164" spans="1:9">
      <c r="A164" s="69" t="s">
        <v>652</v>
      </c>
      <c r="B164" s="69" t="s">
        <v>651</v>
      </c>
      <c r="C164" t="s">
        <v>121</v>
      </c>
      <c r="D164" s="47">
        <v>9.3799999999999994E-2</v>
      </c>
      <c r="E164" s="47">
        <v>8.0000000000000004E-4</v>
      </c>
      <c r="F164" s="47">
        <v>1.03E-2</v>
      </c>
      <c r="G164" s="43">
        <f t="shared" si="5"/>
        <v>-0.35790000000000005</v>
      </c>
      <c r="H164" s="48"/>
      <c r="I164" s="57">
        <v>6</v>
      </c>
    </row>
    <row r="165" spans="1:9">
      <c r="A165" s="69" t="s">
        <v>653</v>
      </c>
      <c r="B165" s="69" t="s">
        <v>652</v>
      </c>
      <c r="C165" t="s">
        <v>98</v>
      </c>
      <c r="D165" s="47">
        <v>9.2299999999999993E-2</v>
      </c>
      <c r="E165" s="47">
        <v>8.0000000000000004E-4</v>
      </c>
      <c r="F165" s="47">
        <v>0.01</v>
      </c>
      <c r="G165" s="43">
        <f t="shared" si="5"/>
        <v>-0.35820000000000002</v>
      </c>
      <c r="H165" s="48"/>
      <c r="I165" s="66">
        <v>5</v>
      </c>
    </row>
    <row r="166" spans="1:9">
      <c r="A166" s="69" t="s">
        <v>654</v>
      </c>
      <c r="B166" s="69" t="s">
        <v>653</v>
      </c>
      <c r="C166" t="s">
        <v>94</v>
      </c>
      <c r="D166" s="47">
        <v>9.2299999999999993E-2</v>
      </c>
      <c r="E166" s="47">
        <v>8.0000000000000004E-4</v>
      </c>
      <c r="F166" s="47">
        <v>0.01</v>
      </c>
      <c r="G166" s="43">
        <f t="shared" si="5"/>
        <v>-0.35820000000000002</v>
      </c>
      <c r="H166" s="48"/>
      <c r="I166" s="57">
        <v>4</v>
      </c>
    </row>
    <row r="167" spans="1:9">
      <c r="A167" s="69" t="s">
        <v>655</v>
      </c>
      <c r="B167" s="69" t="s">
        <v>654</v>
      </c>
      <c r="C167" t="s">
        <v>95</v>
      </c>
      <c r="D167" s="47">
        <v>9.2100000000000001E-2</v>
      </c>
      <c r="E167" s="47">
        <v>6.9999999999999999E-4</v>
      </c>
      <c r="F167" s="47">
        <v>9.9000000000000008E-3</v>
      </c>
      <c r="G167" s="43">
        <f t="shared" si="5"/>
        <v>-0.35830000000000001</v>
      </c>
      <c r="H167" s="48"/>
      <c r="I167" s="66">
        <v>3</v>
      </c>
    </row>
    <row r="168" spans="1:9">
      <c r="A168" s="69" t="s">
        <v>656</v>
      </c>
      <c r="B168" s="69" t="s">
        <v>655</v>
      </c>
      <c r="C168" t="s">
        <v>96</v>
      </c>
      <c r="D168" s="47">
        <v>9.1999999999999998E-2</v>
      </c>
      <c r="E168" s="47">
        <v>6.9999999999999999E-4</v>
      </c>
      <c r="F168" s="47">
        <v>9.9000000000000008E-3</v>
      </c>
      <c r="G168" s="43">
        <f t="shared" si="5"/>
        <v>-0.35830000000000001</v>
      </c>
      <c r="H168" s="48"/>
      <c r="I168" s="57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7983-1235-404C-8848-534738613963}">
  <dimension ref="A1:I170"/>
  <sheetViews>
    <sheetView topLeftCell="A112" workbookViewId="0">
      <selection activeCell="A121" sqref="A121:I125"/>
    </sheetView>
  </sheetViews>
  <sheetFormatPr defaultRowHeight="16.5"/>
  <cols>
    <col min="1" max="1" width="9.25" bestFit="1" customWidth="1"/>
    <col min="2" max="2" width="11.625" bestFit="1" customWidth="1"/>
    <col min="3" max="3" width="37.25" bestFit="1" customWidth="1"/>
    <col min="4" max="4" width="14.125" bestFit="1" customWidth="1"/>
    <col min="5" max="5" width="9.625" bestFit="1" customWidth="1"/>
    <col min="6" max="6" width="15.125" bestFit="1" customWidth="1"/>
    <col min="7" max="7" width="8.25" style="1" bestFit="1" customWidth="1"/>
    <col min="8" max="8" width="26.75" bestFit="1" customWidth="1"/>
    <col min="9" max="9" width="11.25" bestFit="1" customWidth="1"/>
  </cols>
  <sheetData>
    <row r="1" spans="1:9">
      <c r="A1" t="s">
        <v>345</v>
      </c>
      <c r="B1" t="s">
        <v>593</v>
      </c>
      <c r="C1" t="s">
        <v>347</v>
      </c>
      <c r="D1" t="s">
        <v>594</v>
      </c>
      <c r="E1" t="s">
        <v>595</v>
      </c>
      <c r="F1" t="s">
        <v>596</v>
      </c>
      <c r="G1" s="72" t="s">
        <v>824</v>
      </c>
      <c r="H1" s="70" t="s">
        <v>351</v>
      </c>
      <c r="I1" s="71" t="s">
        <v>352</v>
      </c>
    </row>
    <row r="2" spans="1:9">
      <c r="A2" t="s">
        <v>597</v>
      </c>
      <c r="B2" t="s">
        <v>598</v>
      </c>
      <c r="C2" t="s">
        <v>599</v>
      </c>
      <c r="D2">
        <v>0.74229999999999996</v>
      </c>
      <c r="E2">
        <v>4.4000000000000003E-3</v>
      </c>
      <c r="F2">
        <v>0.36809999999999998</v>
      </c>
      <c r="G2" s="46">
        <v>0</v>
      </c>
      <c r="H2" s="41" t="s">
        <v>828</v>
      </c>
      <c r="I2">
        <v>168</v>
      </c>
    </row>
    <row r="3" spans="1:9">
      <c r="A3" t="s">
        <v>357</v>
      </c>
      <c r="B3" t="s">
        <v>597</v>
      </c>
      <c r="C3" s="3" t="s">
        <v>99</v>
      </c>
      <c r="D3">
        <v>0.74229999999999996</v>
      </c>
      <c r="E3">
        <v>4.4000000000000003E-3</v>
      </c>
      <c r="F3">
        <v>0.36830000000000002</v>
      </c>
      <c r="G3" s="46">
        <f>F3 - $F$2</f>
        <v>2.0000000000003348E-4</v>
      </c>
      <c r="H3" s="45" t="s">
        <v>823</v>
      </c>
      <c r="I3">
        <v>167</v>
      </c>
    </row>
    <row r="4" spans="1:9">
      <c r="A4" t="s">
        <v>359</v>
      </c>
      <c r="B4" t="s">
        <v>357</v>
      </c>
      <c r="C4" s="3" t="s">
        <v>190</v>
      </c>
      <c r="D4">
        <v>0.74229999999999996</v>
      </c>
      <c r="E4">
        <v>4.4000000000000003E-3</v>
      </c>
      <c r="F4">
        <v>0.36820000000000003</v>
      </c>
      <c r="G4" s="46">
        <f>F4 - $F$2</f>
        <v>1.000000000000445E-4</v>
      </c>
      <c r="H4" s="45" t="s">
        <v>563</v>
      </c>
      <c r="I4">
        <v>166</v>
      </c>
    </row>
    <row r="5" spans="1:9">
      <c r="A5" t="s">
        <v>362</v>
      </c>
      <c r="B5" t="s">
        <v>359</v>
      </c>
      <c r="C5" s="3" t="s">
        <v>110</v>
      </c>
      <c r="D5">
        <v>0.74229999999999996</v>
      </c>
      <c r="E5">
        <v>4.4000000000000003E-3</v>
      </c>
      <c r="F5">
        <v>0.36830000000000002</v>
      </c>
      <c r="G5" s="46">
        <f>F5 - $F$2</f>
        <v>2.0000000000003348E-4</v>
      </c>
      <c r="H5" s="58"/>
      <c r="I5">
        <v>165</v>
      </c>
    </row>
    <row r="6" spans="1:9">
      <c r="A6" t="s">
        <v>365</v>
      </c>
      <c r="B6" t="s">
        <v>362</v>
      </c>
      <c r="C6" s="3" t="s">
        <v>193</v>
      </c>
      <c r="D6">
        <v>0.74229999999999996</v>
      </c>
      <c r="E6">
        <v>4.4000000000000003E-3</v>
      </c>
      <c r="F6">
        <v>0.36820000000000003</v>
      </c>
      <c r="G6" s="46">
        <f>F6 - $F$2</f>
        <v>1.000000000000445E-4</v>
      </c>
      <c r="H6" s="57"/>
      <c r="I6">
        <v>164</v>
      </c>
    </row>
    <row r="7" spans="1:9">
      <c r="A7" t="s">
        <v>368</v>
      </c>
      <c r="B7" t="s">
        <v>365</v>
      </c>
      <c r="C7" s="3" t="s">
        <v>339</v>
      </c>
      <c r="D7">
        <v>0.74229999999999996</v>
      </c>
      <c r="E7">
        <v>4.4000000000000003E-3</v>
      </c>
      <c r="F7">
        <v>0.36820000000000003</v>
      </c>
      <c r="G7" s="46">
        <f>F7 - $F$2</f>
        <v>1.000000000000445E-4</v>
      </c>
      <c r="H7" s="58"/>
      <c r="I7">
        <v>163</v>
      </c>
    </row>
    <row r="8" spans="1:9">
      <c r="A8" t="s">
        <v>372</v>
      </c>
      <c r="B8" t="s">
        <v>368</v>
      </c>
      <c r="C8" s="3" t="s">
        <v>26</v>
      </c>
      <c r="D8">
        <v>0.74229999999999996</v>
      </c>
      <c r="E8">
        <v>4.4000000000000003E-3</v>
      </c>
      <c r="F8">
        <v>0.36830000000000002</v>
      </c>
      <c r="G8" s="46">
        <f>F8 - $F$2</f>
        <v>2.0000000000003348E-4</v>
      </c>
      <c r="H8" s="57"/>
      <c r="I8">
        <v>162</v>
      </c>
    </row>
    <row r="9" spans="1:9">
      <c r="A9" t="s">
        <v>375</v>
      </c>
      <c r="B9" t="s">
        <v>372</v>
      </c>
      <c r="C9" s="3" t="s">
        <v>93</v>
      </c>
      <c r="D9">
        <v>0.74229999999999996</v>
      </c>
      <c r="E9">
        <v>4.4000000000000003E-3</v>
      </c>
      <c r="F9">
        <v>0.36820000000000003</v>
      </c>
      <c r="G9" s="46">
        <f>F9 - $F$2</f>
        <v>1.000000000000445E-4</v>
      </c>
      <c r="H9" s="58"/>
      <c r="I9">
        <v>161</v>
      </c>
    </row>
    <row r="10" spans="1:9">
      <c r="A10" t="s">
        <v>378</v>
      </c>
      <c r="B10" t="s">
        <v>375</v>
      </c>
      <c r="C10" s="3" t="s">
        <v>98</v>
      </c>
      <c r="D10">
        <v>0.74229999999999996</v>
      </c>
      <c r="E10">
        <v>4.4000000000000003E-3</v>
      </c>
      <c r="F10">
        <v>0.36830000000000002</v>
      </c>
      <c r="G10" s="46">
        <f>F10 - $F$2</f>
        <v>2.0000000000003348E-4</v>
      </c>
      <c r="H10" s="57"/>
      <c r="I10">
        <v>160</v>
      </c>
    </row>
    <row r="11" spans="1:9">
      <c r="A11" t="s">
        <v>381</v>
      </c>
      <c r="B11" t="s">
        <v>378</v>
      </c>
      <c r="C11" s="3" t="s">
        <v>199</v>
      </c>
      <c r="D11">
        <v>0.74229999999999996</v>
      </c>
      <c r="E11">
        <v>4.4000000000000003E-3</v>
      </c>
      <c r="F11">
        <v>0.36820000000000003</v>
      </c>
      <c r="G11" s="46">
        <f>F11 - $F$2</f>
        <v>1.000000000000445E-4</v>
      </c>
      <c r="H11" s="58"/>
      <c r="I11">
        <v>159</v>
      </c>
    </row>
    <row r="12" spans="1:9">
      <c r="A12" t="s">
        <v>384</v>
      </c>
      <c r="B12" t="s">
        <v>381</v>
      </c>
      <c r="C12" s="3" t="s">
        <v>204</v>
      </c>
      <c r="D12">
        <v>0.74229999999999996</v>
      </c>
      <c r="E12">
        <v>4.4000000000000003E-3</v>
      </c>
      <c r="F12">
        <v>0.36830000000000002</v>
      </c>
      <c r="G12" s="46">
        <f>F12 - $F$2</f>
        <v>2.0000000000003348E-4</v>
      </c>
      <c r="H12" s="57"/>
      <c r="I12">
        <v>158</v>
      </c>
    </row>
    <row r="13" spans="1:9">
      <c r="A13" t="s">
        <v>387</v>
      </c>
      <c r="B13" t="s">
        <v>384</v>
      </c>
      <c r="C13" s="3" t="s">
        <v>205</v>
      </c>
      <c r="D13">
        <v>0.74229999999999996</v>
      </c>
      <c r="E13">
        <v>4.4000000000000003E-3</v>
      </c>
      <c r="F13">
        <v>0.36830000000000002</v>
      </c>
      <c r="G13" s="46">
        <f>F13 - $F$2</f>
        <v>2.0000000000003348E-4</v>
      </c>
      <c r="H13" s="58"/>
      <c r="I13">
        <v>157</v>
      </c>
    </row>
    <row r="14" spans="1:9">
      <c r="A14" t="s">
        <v>388</v>
      </c>
      <c r="B14" t="s">
        <v>387</v>
      </c>
      <c r="C14" s="3" t="s">
        <v>124</v>
      </c>
      <c r="D14">
        <v>0.74229999999999996</v>
      </c>
      <c r="E14">
        <v>4.4000000000000003E-3</v>
      </c>
      <c r="F14">
        <v>0.36720000000000003</v>
      </c>
      <c r="G14" s="46">
        <f>F14 - $F$2</f>
        <v>-8.9999999999995639E-4</v>
      </c>
      <c r="H14" s="57"/>
      <c r="I14">
        <v>156</v>
      </c>
    </row>
    <row r="15" spans="1:9">
      <c r="A15" t="s">
        <v>391</v>
      </c>
      <c r="B15" t="s">
        <v>388</v>
      </c>
      <c r="C15" s="3" t="s">
        <v>195</v>
      </c>
      <c r="D15">
        <v>0.74229999999999996</v>
      </c>
      <c r="E15">
        <v>4.4000000000000003E-3</v>
      </c>
      <c r="F15">
        <v>0.36830000000000002</v>
      </c>
      <c r="G15" s="46">
        <f>F15 - $F$2</f>
        <v>2.0000000000003348E-4</v>
      </c>
      <c r="H15" s="58"/>
      <c r="I15">
        <v>155</v>
      </c>
    </row>
    <row r="16" spans="1:9">
      <c r="A16" t="s">
        <v>392</v>
      </c>
      <c r="B16" t="s">
        <v>391</v>
      </c>
      <c r="C16" s="3" t="s">
        <v>50</v>
      </c>
      <c r="D16">
        <v>0.74229999999999996</v>
      </c>
      <c r="E16">
        <v>4.4000000000000003E-3</v>
      </c>
      <c r="F16">
        <v>0.36830000000000002</v>
      </c>
      <c r="G16" s="46">
        <f>F16 - $F$2</f>
        <v>2.0000000000003348E-4</v>
      </c>
      <c r="H16" s="57"/>
      <c r="I16">
        <v>154</v>
      </c>
    </row>
    <row r="17" spans="1:9">
      <c r="A17" t="s">
        <v>393</v>
      </c>
      <c r="B17" t="s">
        <v>392</v>
      </c>
      <c r="C17" s="3" t="s">
        <v>181</v>
      </c>
      <c r="D17">
        <v>0.74229999999999996</v>
      </c>
      <c r="E17">
        <v>4.4000000000000003E-3</v>
      </c>
      <c r="F17">
        <v>0.36699999999999999</v>
      </c>
      <c r="G17" s="46">
        <f>F17 - $F$2</f>
        <v>-1.0999999999999899E-3</v>
      </c>
      <c r="H17" s="58"/>
      <c r="I17">
        <v>153</v>
      </c>
    </row>
    <row r="18" spans="1:9">
      <c r="A18" t="s">
        <v>394</v>
      </c>
      <c r="B18" t="s">
        <v>393</v>
      </c>
      <c r="C18" s="3" t="s">
        <v>194</v>
      </c>
      <c r="D18">
        <v>0.74229999999999996</v>
      </c>
      <c r="E18">
        <v>4.4000000000000003E-3</v>
      </c>
      <c r="F18">
        <v>0.36709999999999998</v>
      </c>
      <c r="G18" s="46">
        <f>F18 - $F$2</f>
        <v>-1.0000000000000009E-3</v>
      </c>
      <c r="H18" s="57"/>
      <c r="I18">
        <v>152</v>
      </c>
    </row>
    <row r="19" spans="1:9">
      <c r="A19" t="s">
        <v>395</v>
      </c>
      <c r="B19" t="s">
        <v>394</v>
      </c>
      <c r="C19" s="3" t="s">
        <v>66</v>
      </c>
      <c r="D19">
        <v>0.74229999999999996</v>
      </c>
      <c r="E19">
        <v>4.4000000000000003E-3</v>
      </c>
      <c r="F19">
        <v>0.36709999999999998</v>
      </c>
      <c r="G19" s="46">
        <f>F19 - $F$2</f>
        <v>-1.0000000000000009E-3</v>
      </c>
      <c r="H19" s="58"/>
      <c r="I19">
        <v>151</v>
      </c>
    </row>
    <row r="20" spans="1:9">
      <c r="A20" t="s">
        <v>396</v>
      </c>
      <c r="B20" t="s">
        <v>395</v>
      </c>
      <c r="C20" s="3" t="s">
        <v>96</v>
      </c>
      <c r="D20">
        <v>0.74229999999999996</v>
      </c>
      <c r="E20">
        <v>4.4000000000000003E-3</v>
      </c>
      <c r="F20">
        <v>0.36709999999999998</v>
      </c>
      <c r="G20" s="46">
        <f>F20 - $F$2</f>
        <v>-1.0000000000000009E-3</v>
      </c>
      <c r="H20" s="57"/>
      <c r="I20">
        <v>150</v>
      </c>
    </row>
    <row r="21" spans="1:9">
      <c r="A21" t="s">
        <v>397</v>
      </c>
      <c r="B21" t="s">
        <v>396</v>
      </c>
      <c r="C21" t="s">
        <v>123</v>
      </c>
      <c r="D21">
        <v>0.74229999999999996</v>
      </c>
      <c r="E21">
        <v>4.4000000000000003E-3</v>
      </c>
      <c r="F21">
        <v>0.36709999999999998</v>
      </c>
      <c r="G21" s="46">
        <f>F21 - $F$2</f>
        <v>-1.0000000000000009E-3</v>
      </c>
      <c r="H21" s="58"/>
      <c r="I21">
        <v>149</v>
      </c>
    </row>
    <row r="22" spans="1:9">
      <c r="A22" t="s">
        <v>398</v>
      </c>
      <c r="B22" t="s">
        <v>397</v>
      </c>
      <c r="C22" t="s">
        <v>97</v>
      </c>
      <c r="D22">
        <v>0.74229999999999996</v>
      </c>
      <c r="E22">
        <v>4.4000000000000003E-3</v>
      </c>
      <c r="F22">
        <v>0.36730000000000002</v>
      </c>
      <c r="G22" s="46">
        <f>F22 - $F$2</f>
        <v>-7.999999999999674E-4</v>
      </c>
      <c r="H22" s="57"/>
      <c r="I22">
        <v>148</v>
      </c>
    </row>
    <row r="23" spans="1:9">
      <c r="A23" t="s">
        <v>408</v>
      </c>
      <c r="B23" t="s">
        <v>398</v>
      </c>
      <c r="C23" t="s">
        <v>95</v>
      </c>
      <c r="D23">
        <v>0.74229999999999996</v>
      </c>
      <c r="E23">
        <v>4.4000000000000003E-3</v>
      </c>
      <c r="F23">
        <v>0.36709999999999998</v>
      </c>
      <c r="G23" s="46">
        <f>F23 - $F$2</f>
        <v>-1.0000000000000009E-3</v>
      </c>
      <c r="H23" s="58"/>
      <c r="I23">
        <v>147</v>
      </c>
    </row>
    <row r="24" spans="1:9">
      <c r="A24" t="s">
        <v>409</v>
      </c>
      <c r="B24" t="s">
        <v>408</v>
      </c>
      <c r="C24" t="s">
        <v>119</v>
      </c>
      <c r="D24">
        <v>0.74229999999999996</v>
      </c>
      <c r="E24">
        <v>4.4000000000000003E-3</v>
      </c>
      <c r="F24">
        <v>0.36749999999999999</v>
      </c>
      <c r="G24" s="46">
        <f>F24 - $F$2</f>
        <v>-5.9999999999998943E-4</v>
      </c>
      <c r="H24" s="57"/>
      <c r="I24">
        <v>146</v>
      </c>
    </row>
    <row r="25" spans="1:9">
      <c r="A25" t="s">
        <v>410</v>
      </c>
      <c r="B25" t="s">
        <v>409</v>
      </c>
      <c r="C25" t="s">
        <v>60</v>
      </c>
      <c r="D25">
        <v>0.74219999999999997</v>
      </c>
      <c r="E25">
        <v>4.1999999999999997E-3</v>
      </c>
      <c r="F25">
        <v>0.36899999999999999</v>
      </c>
      <c r="G25" s="46">
        <f>F25 - $F$2</f>
        <v>9.000000000000119E-4</v>
      </c>
      <c r="H25" s="58"/>
      <c r="I25">
        <v>145</v>
      </c>
    </row>
    <row r="26" spans="1:9">
      <c r="A26" t="s">
        <v>411</v>
      </c>
      <c r="B26" t="s">
        <v>410</v>
      </c>
      <c r="C26" t="s">
        <v>94</v>
      </c>
      <c r="D26">
        <v>0.7419</v>
      </c>
      <c r="E26">
        <v>4.4000000000000003E-3</v>
      </c>
      <c r="F26">
        <v>0.36880000000000002</v>
      </c>
      <c r="G26" s="46">
        <f>F26 - $F$2</f>
        <v>7.0000000000003393E-4</v>
      </c>
      <c r="H26" s="57"/>
      <c r="I26">
        <v>144</v>
      </c>
    </row>
    <row r="27" spans="1:9">
      <c r="A27" t="s">
        <v>412</v>
      </c>
      <c r="B27" t="s">
        <v>411</v>
      </c>
      <c r="C27" t="s">
        <v>332</v>
      </c>
      <c r="D27">
        <v>0.7419</v>
      </c>
      <c r="E27">
        <v>4.4000000000000003E-3</v>
      </c>
      <c r="F27">
        <v>0.3695</v>
      </c>
      <c r="G27" s="46">
        <f>F27 - $F$2</f>
        <v>1.4000000000000123E-3</v>
      </c>
      <c r="H27" s="58"/>
      <c r="I27">
        <v>143</v>
      </c>
    </row>
    <row r="28" spans="1:9">
      <c r="A28" t="s">
        <v>413</v>
      </c>
      <c r="B28" t="s">
        <v>412</v>
      </c>
      <c r="C28" t="s">
        <v>202</v>
      </c>
      <c r="D28">
        <v>0.74139999999999995</v>
      </c>
      <c r="E28">
        <v>5.0000000000000001E-3</v>
      </c>
      <c r="F28">
        <v>0.36940000000000001</v>
      </c>
      <c r="G28" s="46">
        <f>F28 - $F$2</f>
        <v>1.3000000000000234E-3</v>
      </c>
      <c r="H28" s="57"/>
      <c r="I28">
        <v>142</v>
      </c>
    </row>
    <row r="29" spans="1:9">
      <c r="A29" t="s">
        <v>414</v>
      </c>
      <c r="B29" t="s">
        <v>413</v>
      </c>
      <c r="C29" t="s">
        <v>47</v>
      </c>
      <c r="D29">
        <v>0.74139999999999995</v>
      </c>
      <c r="E29">
        <v>5.7999999999999996E-3</v>
      </c>
      <c r="F29">
        <v>0.37159999999999999</v>
      </c>
      <c r="G29" s="46">
        <f>F29 - $F$2</f>
        <v>3.5000000000000031E-3</v>
      </c>
      <c r="H29" s="58"/>
      <c r="I29">
        <v>141</v>
      </c>
    </row>
    <row r="30" spans="1:9">
      <c r="A30" t="s">
        <v>415</v>
      </c>
      <c r="B30" t="s">
        <v>414</v>
      </c>
      <c r="C30" t="s">
        <v>58</v>
      </c>
      <c r="D30">
        <v>0.74050000000000005</v>
      </c>
      <c r="E30">
        <v>4.4999999999999997E-3</v>
      </c>
      <c r="F30">
        <v>0.37159999999999999</v>
      </c>
      <c r="G30" s="46">
        <f>F30 - $F$2</f>
        <v>3.5000000000000031E-3</v>
      </c>
      <c r="H30" s="57"/>
      <c r="I30">
        <v>140</v>
      </c>
    </row>
    <row r="31" spans="1:9">
      <c r="A31" t="s">
        <v>416</v>
      </c>
      <c r="B31" t="s">
        <v>415</v>
      </c>
      <c r="C31" t="s">
        <v>197</v>
      </c>
      <c r="D31">
        <v>0.74039999999999995</v>
      </c>
      <c r="E31">
        <v>4.4999999999999997E-3</v>
      </c>
      <c r="F31">
        <v>0.37180000000000002</v>
      </c>
      <c r="G31" s="46">
        <f>F31 - $F$2</f>
        <v>3.7000000000000366E-3</v>
      </c>
      <c r="H31" s="66"/>
      <c r="I31">
        <v>139</v>
      </c>
    </row>
    <row r="32" spans="1:9">
      <c r="A32" t="s">
        <v>417</v>
      </c>
      <c r="B32" t="s">
        <v>416</v>
      </c>
      <c r="C32" t="s">
        <v>49</v>
      </c>
      <c r="D32">
        <v>0.74139999999999995</v>
      </c>
      <c r="E32">
        <v>3.5999999999999999E-3</v>
      </c>
      <c r="F32">
        <v>0.36880000000000002</v>
      </c>
      <c r="G32" s="46">
        <f>F32 - $F$2</f>
        <v>7.0000000000003393E-4</v>
      </c>
      <c r="H32" s="57"/>
      <c r="I32">
        <v>138</v>
      </c>
    </row>
    <row r="33" spans="1:9">
      <c r="A33" t="s">
        <v>418</v>
      </c>
      <c r="B33" t="s">
        <v>417</v>
      </c>
      <c r="C33" t="s">
        <v>150</v>
      </c>
      <c r="D33">
        <v>0.74170000000000003</v>
      </c>
      <c r="E33">
        <v>3.5000000000000001E-3</v>
      </c>
      <c r="F33">
        <v>0.371</v>
      </c>
      <c r="G33" s="46">
        <f>F33 - $F$2</f>
        <v>2.9000000000000137E-3</v>
      </c>
      <c r="H33" s="66"/>
      <c r="I33">
        <v>137</v>
      </c>
    </row>
    <row r="34" spans="1:9">
      <c r="A34" t="s">
        <v>419</v>
      </c>
      <c r="B34" t="s">
        <v>418</v>
      </c>
      <c r="C34" t="s">
        <v>198</v>
      </c>
      <c r="D34">
        <v>0.74139999999999995</v>
      </c>
      <c r="E34">
        <v>3.5999999999999999E-3</v>
      </c>
      <c r="F34">
        <v>0.37080000000000002</v>
      </c>
      <c r="G34" s="46">
        <f>F34 - $F$2</f>
        <v>2.7000000000000357E-3</v>
      </c>
      <c r="H34" s="57"/>
      <c r="I34">
        <v>136</v>
      </c>
    </row>
    <row r="35" spans="1:9">
      <c r="A35" t="s">
        <v>420</v>
      </c>
      <c r="B35" t="s">
        <v>419</v>
      </c>
      <c r="C35" t="s">
        <v>44</v>
      </c>
      <c r="D35">
        <v>0.74209999999999998</v>
      </c>
      <c r="E35">
        <v>2.8999999999999998E-3</v>
      </c>
      <c r="F35">
        <v>0.36799999999999999</v>
      </c>
      <c r="G35" s="46">
        <f>F35 - $F$2</f>
        <v>-9.9999999999988987E-5</v>
      </c>
      <c r="H35" s="66"/>
      <c r="I35">
        <v>135</v>
      </c>
    </row>
    <row r="36" spans="1:9">
      <c r="A36" t="s">
        <v>421</v>
      </c>
      <c r="B36" t="s">
        <v>420</v>
      </c>
      <c r="C36" t="s">
        <v>12</v>
      </c>
      <c r="D36">
        <v>0.74270000000000003</v>
      </c>
      <c r="E36">
        <v>3.8E-3</v>
      </c>
      <c r="F36">
        <v>0.3674</v>
      </c>
      <c r="G36" s="46">
        <f>F36 - $F$2</f>
        <v>-6.9999999999997842E-4</v>
      </c>
      <c r="H36" s="57"/>
      <c r="I36">
        <v>134</v>
      </c>
    </row>
    <row r="37" spans="1:9">
      <c r="A37" t="s">
        <v>422</v>
      </c>
      <c r="B37" t="s">
        <v>421</v>
      </c>
      <c r="C37" t="s">
        <v>180</v>
      </c>
      <c r="D37">
        <v>0.74329999999999996</v>
      </c>
      <c r="E37">
        <v>4.3E-3</v>
      </c>
      <c r="F37">
        <v>0.37059999999999998</v>
      </c>
      <c r="G37" s="46">
        <f>F37 - $F$2</f>
        <v>2.5000000000000022E-3</v>
      </c>
      <c r="H37" s="66"/>
      <c r="I37">
        <v>133</v>
      </c>
    </row>
    <row r="38" spans="1:9">
      <c r="A38" t="s">
        <v>445</v>
      </c>
      <c r="B38" t="s">
        <v>422</v>
      </c>
      <c r="C38" t="s">
        <v>57</v>
      </c>
      <c r="D38">
        <v>0.74129999999999996</v>
      </c>
      <c r="E38">
        <v>3.0000000000000001E-3</v>
      </c>
      <c r="F38">
        <v>0.37090000000000001</v>
      </c>
      <c r="G38" s="46">
        <f>F38 - $F$2</f>
        <v>2.8000000000000247E-3</v>
      </c>
      <c r="H38" s="57"/>
      <c r="I38">
        <v>132</v>
      </c>
    </row>
    <row r="39" spans="1:9">
      <c r="A39" t="s">
        <v>448</v>
      </c>
      <c r="B39" t="s">
        <v>445</v>
      </c>
      <c r="C39" t="s">
        <v>151</v>
      </c>
      <c r="D39">
        <v>0.74139999999999995</v>
      </c>
      <c r="E39">
        <v>3.0000000000000001E-3</v>
      </c>
      <c r="F39">
        <v>0.371</v>
      </c>
      <c r="G39" s="46">
        <f>F39 - $F$2</f>
        <v>2.9000000000000137E-3</v>
      </c>
      <c r="H39" s="66"/>
      <c r="I39">
        <v>131</v>
      </c>
    </row>
    <row r="40" spans="1:9">
      <c r="A40" t="s">
        <v>449</v>
      </c>
      <c r="B40" t="s">
        <v>448</v>
      </c>
      <c r="C40" t="s">
        <v>117</v>
      </c>
      <c r="D40">
        <v>0.74129999999999996</v>
      </c>
      <c r="E40">
        <v>2.7000000000000001E-3</v>
      </c>
      <c r="F40">
        <v>0.36890000000000001</v>
      </c>
      <c r="G40" s="46">
        <f>F40 - $F$2</f>
        <v>8.0000000000002292E-4</v>
      </c>
      <c r="H40" s="57"/>
      <c r="I40">
        <v>130</v>
      </c>
    </row>
    <row r="41" spans="1:9">
      <c r="A41" t="s">
        <v>450</v>
      </c>
      <c r="B41" t="s">
        <v>449</v>
      </c>
      <c r="C41" t="s">
        <v>166</v>
      </c>
      <c r="D41">
        <v>0.74039999999999995</v>
      </c>
      <c r="E41">
        <v>2.8E-3</v>
      </c>
      <c r="F41">
        <v>0.37119999999999997</v>
      </c>
      <c r="G41" s="46">
        <f>F41 - $F$2</f>
        <v>3.0999999999999917E-3</v>
      </c>
      <c r="H41" s="66"/>
      <c r="I41">
        <v>129</v>
      </c>
    </row>
    <row r="42" spans="1:9">
      <c r="A42" t="s">
        <v>451</v>
      </c>
      <c r="B42" t="s">
        <v>450</v>
      </c>
      <c r="C42" t="s">
        <v>121</v>
      </c>
      <c r="D42">
        <v>0.74280000000000002</v>
      </c>
      <c r="E42">
        <v>5.1999999999999998E-3</v>
      </c>
      <c r="F42">
        <v>0.36720000000000003</v>
      </c>
      <c r="G42" s="46">
        <f>F42 - $F$2</f>
        <v>-8.9999999999995639E-4</v>
      </c>
      <c r="H42" s="57"/>
      <c r="I42">
        <v>128</v>
      </c>
    </row>
    <row r="43" spans="1:9">
      <c r="A43" t="s">
        <v>452</v>
      </c>
      <c r="B43" t="s">
        <v>451</v>
      </c>
      <c r="C43" t="s">
        <v>56</v>
      </c>
      <c r="D43">
        <v>0.7429</v>
      </c>
      <c r="E43">
        <v>4.5999999999999999E-3</v>
      </c>
      <c r="F43">
        <v>0.37019999999999997</v>
      </c>
      <c r="G43" s="46">
        <f>F43 - $F$2</f>
        <v>2.0999999999999908E-3</v>
      </c>
      <c r="H43" s="66"/>
      <c r="I43">
        <v>127</v>
      </c>
    </row>
    <row r="44" spans="1:9">
      <c r="A44" t="s">
        <v>453</v>
      </c>
      <c r="B44" t="s">
        <v>452</v>
      </c>
      <c r="C44" t="s">
        <v>192</v>
      </c>
      <c r="D44">
        <v>0.74229999999999996</v>
      </c>
      <c r="E44">
        <v>5.7000000000000002E-3</v>
      </c>
      <c r="F44">
        <v>0.3715</v>
      </c>
      <c r="G44" s="46">
        <f>F44 - $F$2</f>
        <v>3.4000000000000141E-3</v>
      </c>
      <c r="H44" s="57"/>
      <c r="I44">
        <v>126</v>
      </c>
    </row>
    <row r="45" spans="1:9">
      <c r="A45" t="s">
        <v>454</v>
      </c>
      <c r="B45" t="s">
        <v>453</v>
      </c>
      <c r="C45" t="s">
        <v>113</v>
      </c>
      <c r="D45">
        <v>0.74399999999999999</v>
      </c>
      <c r="E45">
        <v>5.7999999999999996E-3</v>
      </c>
      <c r="F45">
        <v>0.37090000000000001</v>
      </c>
      <c r="G45" s="46">
        <f>F45 - $F$2</f>
        <v>2.8000000000000247E-3</v>
      </c>
      <c r="H45" s="66"/>
      <c r="I45">
        <v>125</v>
      </c>
    </row>
    <row r="46" spans="1:9">
      <c r="A46" t="s">
        <v>455</v>
      </c>
      <c r="B46" t="s">
        <v>454</v>
      </c>
      <c r="C46" t="s">
        <v>45</v>
      </c>
      <c r="D46">
        <v>0.74309999999999998</v>
      </c>
      <c r="E46">
        <v>5.5999999999999999E-3</v>
      </c>
      <c r="F46">
        <v>0.37</v>
      </c>
      <c r="G46" s="46">
        <f>F46 - $F$2</f>
        <v>1.9000000000000128E-3</v>
      </c>
      <c r="H46" s="57"/>
      <c r="I46">
        <v>124</v>
      </c>
    </row>
    <row r="47" spans="1:9">
      <c r="A47" t="s">
        <v>456</v>
      </c>
      <c r="B47" t="s">
        <v>455</v>
      </c>
      <c r="C47" t="s">
        <v>186</v>
      </c>
      <c r="D47">
        <v>0.7419</v>
      </c>
      <c r="E47">
        <v>4.1000000000000003E-3</v>
      </c>
      <c r="F47">
        <v>0.36919999999999997</v>
      </c>
      <c r="G47" s="46">
        <f>F47 - $F$2</f>
        <v>1.0999999999999899E-3</v>
      </c>
      <c r="H47" s="66"/>
      <c r="I47">
        <v>123</v>
      </c>
    </row>
    <row r="48" spans="1:9">
      <c r="A48" t="s">
        <v>457</v>
      </c>
      <c r="B48" t="s">
        <v>456</v>
      </c>
      <c r="C48" t="s">
        <v>90</v>
      </c>
      <c r="D48">
        <v>0.74309999999999998</v>
      </c>
      <c r="E48">
        <v>3.8999999999999998E-3</v>
      </c>
      <c r="F48">
        <v>0.37209999999999999</v>
      </c>
      <c r="G48" s="46">
        <f>F48 - $F$2</f>
        <v>4.0000000000000036E-3</v>
      </c>
      <c r="H48" s="57"/>
      <c r="I48">
        <v>122</v>
      </c>
    </row>
    <row r="49" spans="1:9">
      <c r="A49" t="s">
        <v>458</v>
      </c>
      <c r="B49" t="s">
        <v>457</v>
      </c>
      <c r="C49" t="s">
        <v>55</v>
      </c>
      <c r="D49">
        <v>0.7419</v>
      </c>
      <c r="E49">
        <v>3.5999999999999999E-3</v>
      </c>
      <c r="F49">
        <v>0.374</v>
      </c>
      <c r="G49" s="46">
        <f>F49 - $F$2</f>
        <v>5.9000000000000163E-3</v>
      </c>
      <c r="H49" s="66"/>
      <c r="I49">
        <v>121</v>
      </c>
    </row>
    <row r="50" spans="1:9">
      <c r="A50" t="s">
        <v>459</v>
      </c>
      <c r="B50" t="s">
        <v>458</v>
      </c>
      <c r="C50" t="s">
        <v>189</v>
      </c>
      <c r="D50">
        <v>0.74209999999999998</v>
      </c>
      <c r="E50">
        <v>2.8E-3</v>
      </c>
      <c r="F50">
        <v>0.37059999999999998</v>
      </c>
      <c r="G50" s="46">
        <f>F50 - $F$2</f>
        <v>2.5000000000000022E-3</v>
      </c>
      <c r="H50" s="57"/>
      <c r="I50">
        <v>120</v>
      </c>
    </row>
    <row r="51" spans="1:9">
      <c r="A51" t="s">
        <v>460</v>
      </c>
      <c r="B51" t="s">
        <v>459</v>
      </c>
      <c r="C51" t="s">
        <v>277</v>
      </c>
      <c r="D51">
        <v>0.74239999999999995</v>
      </c>
      <c r="E51">
        <v>4.4000000000000003E-3</v>
      </c>
      <c r="F51">
        <v>0.37190000000000001</v>
      </c>
      <c r="G51" s="46">
        <f>F51 - $F$2</f>
        <v>3.8000000000000256E-3</v>
      </c>
      <c r="H51" s="66"/>
      <c r="I51">
        <v>119</v>
      </c>
    </row>
    <row r="52" spans="1:9">
      <c r="A52" t="s">
        <v>461</v>
      </c>
      <c r="B52" t="s">
        <v>460</v>
      </c>
      <c r="C52" t="s">
        <v>139</v>
      </c>
      <c r="D52">
        <v>0.74080000000000001</v>
      </c>
      <c r="E52">
        <v>4.0000000000000001E-3</v>
      </c>
      <c r="F52">
        <v>0.36709999999999998</v>
      </c>
      <c r="G52" s="46">
        <f>F52 - $F$2</f>
        <v>-1.0000000000000009E-3</v>
      </c>
      <c r="H52" s="57"/>
      <c r="I52">
        <v>118</v>
      </c>
    </row>
    <row r="53" spans="1:9">
      <c r="A53" t="s">
        <v>462</v>
      </c>
      <c r="B53" t="s">
        <v>461</v>
      </c>
      <c r="C53" t="s">
        <v>87</v>
      </c>
      <c r="D53">
        <v>0.74129999999999996</v>
      </c>
      <c r="E53">
        <v>3.7000000000000002E-3</v>
      </c>
      <c r="F53">
        <v>0.3705</v>
      </c>
      <c r="G53" s="46">
        <f>F53 - $F$2</f>
        <v>2.4000000000000132E-3</v>
      </c>
      <c r="H53" s="66"/>
      <c r="I53">
        <v>117</v>
      </c>
    </row>
    <row r="54" spans="1:9">
      <c r="A54" t="s">
        <v>463</v>
      </c>
      <c r="B54" t="s">
        <v>462</v>
      </c>
      <c r="C54" t="s">
        <v>149</v>
      </c>
      <c r="D54">
        <v>0.74080000000000001</v>
      </c>
      <c r="E54">
        <v>3.2000000000000002E-3</v>
      </c>
      <c r="F54">
        <v>0.37119999999999997</v>
      </c>
      <c r="G54" s="46">
        <f>F54 - $F$2</f>
        <v>3.0999999999999917E-3</v>
      </c>
      <c r="H54" s="57"/>
      <c r="I54">
        <v>116</v>
      </c>
    </row>
    <row r="55" spans="1:9">
      <c r="A55" t="s">
        <v>464</v>
      </c>
      <c r="B55" t="s">
        <v>463</v>
      </c>
      <c r="C55" t="s">
        <v>83</v>
      </c>
      <c r="D55">
        <v>0.74250000000000005</v>
      </c>
      <c r="E55">
        <v>3.5000000000000001E-3</v>
      </c>
      <c r="F55">
        <v>0.3715</v>
      </c>
      <c r="G55" s="46">
        <f>F55 - $F$2</f>
        <v>3.4000000000000141E-3</v>
      </c>
      <c r="H55" s="66"/>
      <c r="I55">
        <v>115</v>
      </c>
    </row>
    <row r="56" spans="1:9">
      <c r="A56" t="s">
        <v>465</v>
      </c>
      <c r="B56" t="s">
        <v>464</v>
      </c>
      <c r="C56" t="s">
        <v>263</v>
      </c>
      <c r="D56">
        <v>0.74280000000000002</v>
      </c>
      <c r="E56">
        <v>3.8E-3</v>
      </c>
      <c r="F56">
        <v>0.36990000000000001</v>
      </c>
      <c r="G56" s="46">
        <f>F56 - $F$2</f>
        <v>1.8000000000000238E-3</v>
      </c>
      <c r="H56" s="57"/>
      <c r="I56">
        <v>114</v>
      </c>
    </row>
    <row r="57" spans="1:9">
      <c r="A57" t="s">
        <v>466</v>
      </c>
      <c r="B57" t="s">
        <v>465</v>
      </c>
      <c r="C57" t="s">
        <v>172</v>
      </c>
      <c r="D57">
        <v>0.74250000000000005</v>
      </c>
      <c r="E57">
        <v>4.4999999999999997E-3</v>
      </c>
      <c r="F57">
        <v>0.37069999999999997</v>
      </c>
      <c r="G57" s="46">
        <f>F57 - $F$2</f>
        <v>2.5999999999999912E-3</v>
      </c>
      <c r="H57" s="66"/>
      <c r="I57">
        <v>113</v>
      </c>
    </row>
    <row r="58" spans="1:9">
      <c r="A58" t="s">
        <v>467</v>
      </c>
      <c r="B58" t="s">
        <v>466</v>
      </c>
      <c r="C58" t="s">
        <v>179</v>
      </c>
      <c r="D58">
        <v>0.74080000000000001</v>
      </c>
      <c r="E58">
        <v>2.8E-3</v>
      </c>
      <c r="F58">
        <v>0.3695</v>
      </c>
      <c r="G58" s="46">
        <f>F58 - $F$2</f>
        <v>1.4000000000000123E-3</v>
      </c>
      <c r="H58" s="57"/>
      <c r="I58">
        <v>112</v>
      </c>
    </row>
    <row r="59" spans="1:9">
      <c r="A59" t="s">
        <v>468</v>
      </c>
      <c r="B59" t="s">
        <v>467</v>
      </c>
      <c r="C59" t="s">
        <v>54</v>
      </c>
      <c r="D59">
        <v>0.74099999999999999</v>
      </c>
      <c r="E59">
        <v>2.8999999999999998E-3</v>
      </c>
      <c r="F59">
        <v>0.3725</v>
      </c>
      <c r="G59" s="46">
        <f>F59 - $F$2</f>
        <v>4.400000000000015E-3</v>
      </c>
      <c r="H59" s="66"/>
      <c r="I59">
        <v>111</v>
      </c>
    </row>
    <row r="60" spans="1:9">
      <c r="A60" t="s">
        <v>469</v>
      </c>
      <c r="B60" t="s">
        <v>468</v>
      </c>
      <c r="C60" t="s">
        <v>293</v>
      </c>
      <c r="D60">
        <v>0.7429</v>
      </c>
      <c r="E60">
        <v>2.8E-3</v>
      </c>
      <c r="F60">
        <v>0.37119999999999997</v>
      </c>
      <c r="G60" s="46">
        <f>F60 - $F$2</f>
        <v>3.0999999999999917E-3</v>
      </c>
      <c r="H60" s="57"/>
      <c r="I60">
        <v>110</v>
      </c>
    </row>
    <row r="61" spans="1:9">
      <c r="A61" t="s">
        <v>470</v>
      </c>
      <c r="B61" t="s">
        <v>469</v>
      </c>
      <c r="C61" t="s">
        <v>234</v>
      </c>
      <c r="D61">
        <v>0.74280000000000002</v>
      </c>
      <c r="E61">
        <v>4.7999999999999996E-3</v>
      </c>
      <c r="F61">
        <v>0.37119999999999997</v>
      </c>
      <c r="G61" s="46">
        <f>F61 - $F$2</f>
        <v>3.0999999999999917E-3</v>
      </c>
      <c r="H61" s="66"/>
      <c r="I61">
        <v>109</v>
      </c>
    </row>
    <row r="62" spans="1:9">
      <c r="A62" t="s">
        <v>471</v>
      </c>
      <c r="B62" t="s">
        <v>470</v>
      </c>
      <c r="C62" t="s">
        <v>276</v>
      </c>
      <c r="D62">
        <v>0.74270000000000003</v>
      </c>
      <c r="E62">
        <v>3.2000000000000002E-3</v>
      </c>
      <c r="F62">
        <v>0.37159999999999999</v>
      </c>
      <c r="G62" s="46">
        <f>F62 - $F$2</f>
        <v>3.5000000000000031E-3</v>
      </c>
      <c r="H62" s="57"/>
      <c r="I62">
        <v>108</v>
      </c>
    </row>
    <row r="63" spans="1:9">
      <c r="A63" t="s">
        <v>472</v>
      </c>
      <c r="B63" t="s">
        <v>471</v>
      </c>
      <c r="C63" t="s">
        <v>285</v>
      </c>
      <c r="D63">
        <v>0.74399999999999999</v>
      </c>
      <c r="E63">
        <v>2.3999999999999998E-3</v>
      </c>
      <c r="F63">
        <v>0.3695</v>
      </c>
      <c r="G63" s="46">
        <f>F63 - $F$2</f>
        <v>1.4000000000000123E-3</v>
      </c>
      <c r="H63" s="66"/>
      <c r="I63">
        <v>107</v>
      </c>
    </row>
    <row r="64" spans="1:9">
      <c r="A64" t="s">
        <v>473</v>
      </c>
      <c r="B64" t="s">
        <v>472</v>
      </c>
      <c r="C64" t="s">
        <v>115</v>
      </c>
      <c r="D64">
        <v>0.74419999999999997</v>
      </c>
      <c r="E64">
        <v>1.5E-3</v>
      </c>
      <c r="F64">
        <v>0.3715</v>
      </c>
      <c r="G64" s="46">
        <f>F64 - $F$2</f>
        <v>3.4000000000000141E-3</v>
      </c>
      <c r="H64" s="57"/>
      <c r="I64">
        <v>106</v>
      </c>
    </row>
    <row r="65" spans="1:9">
      <c r="A65" t="s">
        <v>474</v>
      </c>
      <c r="B65" t="s">
        <v>473</v>
      </c>
      <c r="C65" t="s">
        <v>333</v>
      </c>
      <c r="D65">
        <v>0.7429</v>
      </c>
      <c r="E65">
        <v>1.6999999999999999E-3</v>
      </c>
      <c r="F65">
        <v>0.3705</v>
      </c>
      <c r="G65" s="46">
        <f>F65 - $F$2</f>
        <v>2.4000000000000132E-3</v>
      </c>
      <c r="H65" s="66"/>
      <c r="I65">
        <v>105</v>
      </c>
    </row>
    <row r="66" spans="1:9">
      <c r="A66" t="s">
        <v>475</v>
      </c>
      <c r="B66" t="s">
        <v>474</v>
      </c>
      <c r="C66" t="s">
        <v>69</v>
      </c>
      <c r="D66">
        <v>0.74239999999999995</v>
      </c>
      <c r="E66">
        <v>3.7000000000000002E-3</v>
      </c>
      <c r="F66">
        <v>0.36909999999999998</v>
      </c>
      <c r="G66" s="46">
        <f>F66 - $F$2</f>
        <v>1.0000000000000009E-3</v>
      </c>
      <c r="H66" s="57"/>
      <c r="I66">
        <v>104</v>
      </c>
    </row>
    <row r="67" spans="1:9">
      <c r="A67" t="s">
        <v>476</v>
      </c>
      <c r="B67" t="s">
        <v>475</v>
      </c>
      <c r="C67" t="s">
        <v>310</v>
      </c>
      <c r="D67">
        <v>0.74380000000000002</v>
      </c>
      <c r="E67">
        <v>4.8999999999999998E-3</v>
      </c>
      <c r="F67">
        <v>0.3674</v>
      </c>
      <c r="G67" s="46">
        <f>F67 - $F$2</f>
        <v>-6.9999999999997842E-4</v>
      </c>
      <c r="H67" s="66"/>
      <c r="I67">
        <v>103</v>
      </c>
    </row>
    <row r="68" spans="1:9">
      <c r="A68" t="s">
        <v>477</v>
      </c>
      <c r="B68" t="s">
        <v>476</v>
      </c>
      <c r="C68" t="s">
        <v>270</v>
      </c>
      <c r="D68">
        <v>0.74450000000000005</v>
      </c>
      <c r="E68">
        <v>2.7000000000000001E-3</v>
      </c>
      <c r="F68">
        <v>0.36709999999999998</v>
      </c>
      <c r="G68" s="46">
        <f>F68 - $F$2</f>
        <v>-1.0000000000000009E-3</v>
      </c>
      <c r="H68" s="57"/>
      <c r="I68">
        <v>102</v>
      </c>
    </row>
    <row r="69" spans="1:9">
      <c r="A69" t="s">
        <v>478</v>
      </c>
      <c r="B69" t="s">
        <v>477</v>
      </c>
      <c r="C69" t="s">
        <v>11</v>
      </c>
      <c r="D69">
        <v>0.74480000000000002</v>
      </c>
      <c r="E69">
        <v>3.3999999999999998E-3</v>
      </c>
      <c r="F69">
        <v>0.36899999999999999</v>
      </c>
      <c r="G69" s="46">
        <f>F69 - $F$2</f>
        <v>9.000000000000119E-4</v>
      </c>
      <c r="H69" s="66"/>
      <c r="I69">
        <v>101</v>
      </c>
    </row>
    <row r="70" spans="1:9">
      <c r="A70" t="s">
        <v>479</v>
      </c>
      <c r="B70" t="s">
        <v>478</v>
      </c>
      <c r="C70" t="s">
        <v>178</v>
      </c>
      <c r="D70">
        <v>0.74319999999999997</v>
      </c>
      <c r="E70">
        <v>4.5999999999999999E-3</v>
      </c>
      <c r="F70">
        <v>0.37019999999999997</v>
      </c>
      <c r="G70" s="46">
        <f>F70 - $F$2</f>
        <v>2.0999999999999908E-3</v>
      </c>
      <c r="H70" s="57"/>
      <c r="I70">
        <v>100</v>
      </c>
    </row>
    <row r="71" spans="1:9">
      <c r="A71" t="s">
        <v>480</v>
      </c>
      <c r="B71" t="s">
        <v>479</v>
      </c>
      <c r="C71" t="s">
        <v>164</v>
      </c>
      <c r="D71">
        <v>0.74409999999999998</v>
      </c>
      <c r="E71">
        <v>4.7999999999999996E-3</v>
      </c>
      <c r="F71">
        <v>0.3659</v>
      </c>
      <c r="G71" s="46">
        <f>F71 - $F$2</f>
        <v>-2.1999999999999797E-3</v>
      </c>
      <c r="H71" s="66"/>
      <c r="I71">
        <v>99</v>
      </c>
    </row>
    <row r="72" spans="1:9">
      <c r="A72" t="s">
        <v>481</v>
      </c>
      <c r="B72" t="s">
        <v>480</v>
      </c>
      <c r="C72" t="s">
        <v>275</v>
      </c>
      <c r="D72">
        <v>0.7429</v>
      </c>
      <c r="E72">
        <v>3.3E-3</v>
      </c>
      <c r="F72">
        <v>0.36940000000000001</v>
      </c>
      <c r="G72" s="46">
        <f>F72 - $F$2</f>
        <v>1.3000000000000234E-3</v>
      </c>
      <c r="H72" s="57"/>
      <c r="I72">
        <v>98</v>
      </c>
    </row>
    <row r="73" spans="1:9">
      <c r="A73" t="s">
        <v>482</v>
      </c>
      <c r="B73" t="s">
        <v>481</v>
      </c>
      <c r="C73" t="s">
        <v>63</v>
      </c>
      <c r="D73">
        <v>0.74370000000000003</v>
      </c>
      <c r="E73">
        <v>2.5999999999999999E-3</v>
      </c>
      <c r="F73">
        <v>0.36930000000000002</v>
      </c>
      <c r="G73" s="46">
        <f>F73 - $F$2</f>
        <v>1.2000000000000344E-3</v>
      </c>
      <c r="H73" s="66"/>
      <c r="I73">
        <v>97</v>
      </c>
    </row>
    <row r="74" spans="1:9">
      <c r="A74" t="s">
        <v>483</v>
      </c>
      <c r="B74" t="s">
        <v>482</v>
      </c>
      <c r="C74" t="s">
        <v>129</v>
      </c>
      <c r="D74">
        <v>0.74409999999999998</v>
      </c>
      <c r="E74">
        <v>4.1999999999999997E-3</v>
      </c>
      <c r="F74">
        <v>0.36940000000000001</v>
      </c>
      <c r="G74" s="46">
        <f>F74 - $F$2</f>
        <v>1.3000000000000234E-3</v>
      </c>
      <c r="H74" s="57"/>
      <c r="I74">
        <v>96</v>
      </c>
    </row>
    <row r="75" spans="1:9">
      <c r="A75" t="s">
        <v>484</v>
      </c>
      <c r="B75" t="s">
        <v>483</v>
      </c>
      <c r="C75" t="s">
        <v>163</v>
      </c>
      <c r="D75">
        <v>0.74250000000000005</v>
      </c>
      <c r="E75">
        <v>3.5999999999999999E-3</v>
      </c>
      <c r="F75">
        <v>0.36940000000000001</v>
      </c>
      <c r="G75" s="46">
        <f>F75 - $F$2</f>
        <v>1.3000000000000234E-3</v>
      </c>
      <c r="H75" s="66"/>
      <c r="I75">
        <v>95</v>
      </c>
    </row>
    <row r="76" spans="1:9">
      <c r="A76" t="s">
        <v>485</v>
      </c>
      <c r="B76" t="s">
        <v>484</v>
      </c>
      <c r="C76" t="s">
        <v>281</v>
      </c>
      <c r="D76">
        <v>0.74390000000000001</v>
      </c>
      <c r="E76">
        <v>3.3999999999999998E-3</v>
      </c>
      <c r="F76">
        <v>0.37240000000000001</v>
      </c>
      <c r="G76" s="46">
        <f>F76 - $F$2</f>
        <v>4.300000000000026E-3</v>
      </c>
      <c r="H76" s="57"/>
      <c r="I76">
        <v>94</v>
      </c>
    </row>
    <row r="77" spans="1:9">
      <c r="A77" t="s">
        <v>486</v>
      </c>
      <c r="B77" t="s">
        <v>485</v>
      </c>
      <c r="C77" t="s">
        <v>283</v>
      </c>
      <c r="D77">
        <v>0.74450000000000005</v>
      </c>
      <c r="E77">
        <v>6.4000000000000003E-3</v>
      </c>
      <c r="F77">
        <v>0.37130000000000002</v>
      </c>
      <c r="G77" s="46">
        <f>F77 - $F$2</f>
        <v>3.2000000000000361E-3</v>
      </c>
      <c r="H77" s="66"/>
      <c r="I77">
        <v>93</v>
      </c>
    </row>
    <row r="78" spans="1:9">
      <c r="A78" t="s">
        <v>487</v>
      </c>
      <c r="B78" t="s">
        <v>486</v>
      </c>
      <c r="C78" t="s">
        <v>264</v>
      </c>
      <c r="D78">
        <v>0.74629999999999996</v>
      </c>
      <c r="E78">
        <v>3.3999999999999998E-3</v>
      </c>
      <c r="F78">
        <v>0.3725</v>
      </c>
      <c r="G78" s="46">
        <f>F78 - $F$2</f>
        <v>4.400000000000015E-3</v>
      </c>
      <c r="H78" s="57"/>
      <c r="I78">
        <v>92</v>
      </c>
    </row>
    <row r="79" spans="1:9">
      <c r="A79" t="s">
        <v>488</v>
      </c>
      <c r="B79" t="s">
        <v>487</v>
      </c>
      <c r="C79" t="s">
        <v>68</v>
      </c>
      <c r="D79">
        <v>0.746</v>
      </c>
      <c r="E79">
        <v>4.3E-3</v>
      </c>
      <c r="F79">
        <v>0.37080000000000002</v>
      </c>
      <c r="G79" s="46">
        <f>F79 - $F$2</f>
        <v>2.7000000000000357E-3</v>
      </c>
      <c r="H79" s="66"/>
      <c r="I79">
        <v>91</v>
      </c>
    </row>
    <row r="80" spans="1:9">
      <c r="A80" t="s">
        <v>489</v>
      </c>
      <c r="B80" t="s">
        <v>488</v>
      </c>
      <c r="C80" t="s">
        <v>331</v>
      </c>
      <c r="D80">
        <v>0.74490000000000001</v>
      </c>
      <c r="E80">
        <v>3.8E-3</v>
      </c>
      <c r="F80">
        <v>0.36730000000000002</v>
      </c>
      <c r="G80" s="46">
        <f>F80 - $F$2</f>
        <v>-7.999999999999674E-4</v>
      </c>
      <c r="H80" s="57"/>
      <c r="I80">
        <v>90</v>
      </c>
    </row>
    <row r="81" spans="1:9">
      <c r="A81" t="s">
        <v>490</v>
      </c>
      <c r="B81" t="s">
        <v>489</v>
      </c>
      <c r="C81" t="s">
        <v>288</v>
      </c>
      <c r="D81">
        <v>0.74439999999999995</v>
      </c>
      <c r="E81">
        <v>4.5999999999999999E-3</v>
      </c>
      <c r="F81">
        <v>0.36759999999999998</v>
      </c>
      <c r="G81" s="46">
        <f>F81 - $F$2</f>
        <v>-5.0000000000000044E-4</v>
      </c>
      <c r="H81" s="66"/>
      <c r="I81">
        <v>89</v>
      </c>
    </row>
    <row r="82" spans="1:9">
      <c r="A82" t="s">
        <v>491</v>
      </c>
      <c r="B82" t="s">
        <v>490</v>
      </c>
      <c r="C82" t="s">
        <v>228</v>
      </c>
      <c r="D82">
        <v>0.74470000000000003</v>
      </c>
      <c r="E82">
        <v>4.4000000000000003E-3</v>
      </c>
      <c r="F82">
        <v>0.37190000000000001</v>
      </c>
      <c r="G82" s="46">
        <f>F82 - $F$2</f>
        <v>3.8000000000000256E-3</v>
      </c>
      <c r="H82" s="57"/>
      <c r="I82">
        <v>88</v>
      </c>
    </row>
    <row r="83" spans="1:9">
      <c r="A83" t="s">
        <v>492</v>
      </c>
      <c r="B83" t="s">
        <v>491</v>
      </c>
      <c r="C83" t="s">
        <v>169</v>
      </c>
      <c r="D83">
        <v>0.74470000000000003</v>
      </c>
      <c r="E83">
        <v>4.0000000000000001E-3</v>
      </c>
      <c r="F83">
        <v>0.37180000000000002</v>
      </c>
      <c r="G83" s="46">
        <f>F83 - $F$2</f>
        <v>3.7000000000000366E-3</v>
      </c>
      <c r="H83" s="66"/>
      <c r="I83">
        <v>87</v>
      </c>
    </row>
    <row r="84" spans="1:9">
      <c r="A84" t="s">
        <v>493</v>
      </c>
      <c r="B84" t="s">
        <v>492</v>
      </c>
      <c r="C84" t="s">
        <v>37</v>
      </c>
      <c r="D84">
        <v>0.74380000000000002</v>
      </c>
      <c r="E84">
        <v>4.5999999999999999E-3</v>
      </c>
      <c r="F84">
        <v>0.36709999999999998</v>
      </c>
      <c r="G84" s="46">
        <f>F84 - $F$2</f>
        <v>-1.0000000000000009E-3</v>
      </c>
      <c r="H84" s="57"/>
      <c r="I84">
        <v>86</v>
      </c>
    </row>
    <row r="85" spans="1:9">
      <c r="A85" t="s">
        <v>494</v>
      </c>
      <c r="B85" t="s">
        <v>493</v>
      </c>
      <c r="C85" t="s">
        <v>109</v>
      </c>
      <c r="D85">
        <v>0.74639999999999995</v>
      </c>
      <c r="E85">
        <v>3.3999999999999998E-3</v>
      </c>
      <c r="F85">
        <v>0.36840000000000001</v>
      </c>
      <c r="G85" s="46">
        <f>F85 - $F$2</f>
        <v>3.0000000000002247E-4</v>
      </c>
      <c r="H85" s="66"/>
      <c r="I85">
        <v>85</v>
      </c>
    </row>
    <row r="86" spans="1:9">
      <c r="A86" t="s">
        <v>495</v>
      </c>
      <c r="B86" t="s">
        <v>494</v>
      </c>
      <c r="C86" t="s">
        <v>316</v>
      </c>
      <c r="D86">
        <v>0.74629999999999996</v>
      </c>
      <c r="E86">
        <v>3.0000000000000001E-3</v>
      </c>
      <c r="F86">
        <v>0.37019999999999997</v>
      </c>
      <c r="G86" s="46">
        <f>F86 - $F$2</f>
        <v>2.0999999999999908E-3</v>
      </c>
      <c r="H86" s="57"/>
      <c r="I86">
        <v>84</v>
      </c>
    </row>
    <row r="87" spans="1:9">
      <c r="A87" t="s">
        <v>496</v>
      </c>
      <c r="B87" t="s">
        <v>495</v>
      </c>
      <c r="C87" t="s">
        <v>133</v>
      </c>
      <c r="D87">
        <v>0.74660000000000004</v>
      </c>
      <c r="E87">
        <v>4.1999999999999997E-3</v>
      </c>
      <c r="F87">
        <v>0.36809999999999998</v>
      </c>
      <c r="G87" s="46">
        <f>F87 - $F$2</f>
        <v>0</v>
      </c>
      <c r="H87" s="66"/>
      <c r="I87">
        <v>83</v>
      </c>
    </row>
    <row r="88" spans="1:9">
      <c r="A88" t="s">
        <v>497</v>
      </c>
      <c r="B88" t="s">
        <v>496</v>
      </c>
      <c r="C88" t="s">
        <v>85</v>
      </c>
      <c r="D88">
        <v>0.74639999999999995</v>
      </c>
      <c r="E88">
        <v>4.0000000000000001E-3</v>
      </c>
      <c r="F88">
        <v>0.37290000000000001</v>
      </c>
      <c r="G88" s="46">
        <f>F88 - $F$2</f>
        <v>4.8000000000000265E-3</v>
      </c>
      <c r="H88" s="57"/>
      <c r="I88">
        <v>82</v>
      </c>
    </row>
    <row r="89" spans="1:9">
      <c r="A89" t="s">
        <v>498</v>
      </c>
      <c r="B89" t="s">
        <v>497</v>
      </c>
      <c r="C89" t="s">
        <v>148</v>
      </c>
      <c r="D89">
        <v>0.74639999999999995</v>
      </c>
      <c r="E89">
        <v>4.7000000000000002E-3</v>
      </c>
      <c r="F89">
        <v>0.37159999999999999</v>
      </c>
      <c r="G89" s="46">
        <f>F89 - $F$2</f>
        <v>3.5000000000000031E-3</v>
      </c>
      <c r="H89" s="66"/>
      <c r="I89">
        <v>81</v>
      </c>
    </row>
    <row r="90" spans="1:9">
      <c r="A90" t="s">
        <v>499</v>
      </c>
      <c r="B90" t="s">
        <v>498</v>
      </c>
      <c r="C90" t="s">
        <v>146</v>
      </c>
      <c r="D90">
        <v>0.74690000000000001</v>
      </c>
      <c r="E90">
        <v>4.3E-3</v>
      </c>
      <c r="F90">
        <v>0.36830000000000002</v>
      </c>
      <c r="G90" s="46">
        <f>F90 - $F$2</f>
        <v>2.0000000000003348E-4</v>
      </c>
      <c r="H90" s="57"/>
      <c r="I90">
        <v>80</v>
      </c>
    </row>
    <row r="91" spans="1:9">
      <c r="A91" t="s">
        <v>500</v>
      </c>
      <c r="B91" t="s">
        <v>499</v>
      </c>
      <c r="C91" t="s">
        <v>321</v>
      </c>
      <c r="D91">
        <v>0.74619999999999997</v>
      </c>
      <c r="E91">
        <v>4.1999999999999997E-3</v>
      </c>
      <c r="F91">
        <v>0.36830000000000002</v>
      </c>
      <c r="G91" s="46">
        <f>F91 - $F$2</f>
        <v>2.0000000000003348E-4</v>
      </c>
      <c r="H91" s="66"/>
      <c r="I91">
        <v>79</v>
      </c>
    </row>
    <row r="92" spans="1:9">
      <c r="A92" t="s">
        <v>501</v>
      </c>
      <c r="B92" t="s">
        <v>500</v>
      </c>
      <c r="C92" t="s">
        <v>279</v>
      </c>
      <c r="D92">
        <v>0.74760000000000004</v>
      </c>
      <c r="E92">
        <v>4.4999999999999997E-3</v>
      </c>
      <c r="F92">
        <v>0.37069999999999997</v>
      </c>
      <c r="G92" s="46">
        <f>F92 - $F$2</f>
        <v>2.5999999999999912E-3</v>
      </c>
      <c r="H92" s="57"/>
      <c r="I92">
        <v>78</v>
      </c>
    </row>
    <row r="93" spans="1:9">
      <c r="A93" t="s">
        <v>502</v>
      </c>
      <c r="B93" t="s">
        <v>501</v>
      </c>
      <c r="C93" t="s">
        <v>158</v>
      </c>
      <c r="D93">
        <v>0.74719999999999998</v>
      </c>
      <c r="E93">
        <v>2.8999999999999998E-3</v>
      </c>
      <c r="F93">
        <v>0.36849999999999999</v>
      </c>
      <c r="G93" s="46">
        <f>F93 - $F$2</f>
        <v>4.0000000000001146E-4</v>
      </c>
      <c r="H93" s="66"/>
      <c r="I93">
        <v>77</v>
      </c>
    </row>
    <row r="94" spans="1:9">
      <c r="A94" t="s">
        <v>503</v>
      </c>
      <c r="B94" t="s">
        <v>502</v>
      </c>
      <c r="C94" t="s">
        <v>64</v>
      </c>
      <c r="D94">
        <v>0.74709999999999999</v>
      </c>
      <c r="E94">
        <v>3.0000000000000001E-3</v>
      </c>
      <c r="F94">
        <v>0.36840000000000001</v>
      </c>
      <c r="G94" s="46">
        <f>F94 - $F$2</f>
        <v>3.0000000000002247E-4</v>
      </c>
      <c r="H94" s="57"/>
      <c r="I94">
        <v>76</v>
      </c>
    </row>
    <row r="95" spans="1:9">
      <c r="A95" t="s">
        <v>504</v>
      </c>
      <c r="B95" t="s">
        <v>503</v>
      </c>
      <c r="C95" t="s">
        <v>322</v>
      </c>
      <c r="D95">
        <v>0.74760000000000004</v>
      </c>
      <c r="E95">
        <v>3.7000000000000002E-3</v>
      </c>
      <c r="F95">
        <v>0.36969999999999997</v>
      </c>
      <c r="G95" s="46">
        <f>F95 - $F$2</f>
        <v>1.5999999999999903E-3</v>
      </c>
      <c r="H95" s="66"/>
      <c r="I95">
        <v>75</v>
      </c>
    </row>
    <row r="96" spans="1:9">
      <c r="A96" t="s">
        <v>505</v>
      </c>
      <c r="B96" t="s">
        <v>504</v>
      </c>
      <c r="C96" t="s">
        <v>136</v>
      </c>
      <c r="D96">
        <v>0.74860000000000004</v>
      </c>
      <c r="E96">
        <v>4.1999999999999997E-3</v>
      </c>
      <c r="F96">
        <v>0.36890000000000001</v>
      </c>
      <c r="G96" s="46">
        <f>F96 - $F$2</f>
        <v>8.0000000000002292E-4</v>
      </c>
      <c r="H96" s="57"/>
      <c r="I96">
        <v>74</v>
      </c>
    </row>
    <row r="97" spans="1:9">
      <c r="A97" t="s">
        <v>506</v>
      </c>
      <c r="B97" t="s">
        <v>505</v>
      </c>
      <c r="C97" t="s">
        <v>131</v>
      </c>
      <c r="D97">
        <v>0.748</v>
      </c>
      <c r="E97">
        <v>2.8E-3</v>
      </c>
      <c r="F97">
        <v>0.37040000000000001</v>
      </c>
      <c r="G97" s="46">
        <f>F97 - $F$2</f>
        <v>2.3000000000000242E-3</v>
      </c>
      <c r="H97" s="66"/>
      <c r="I97">
        <v>73</v>
      </c>
    </row>
    <row r="98" spans="1:9">
      <c r="A98" t="s">
        <v>507</v>
      </c>
      <c r="B98" t="s">
        <v>506</v>
      </c>
      <c r="C98" t="s">
        <v>327</v>
      </c>
      <c r="D98">
        <v>0.74780000000000002</v>
      </c>
      <c r="E98">
        <v>2.8E-3</v>
      </c>
      <c r="F98">
        <v>0.36990000000000001</v>
      </c>
      <c r="G98" s="46">
        <f>F98 - $F$2</f>
        <v>1.8000000000000238E-3</v>
      </c>
      <c r="H98" s="57"/>
      <c r="I98">
        <v>72</v>
      </c>
    </row>
    <row r="99" spans="1:9">
      <c r="A99" t="s">
        <v>508</v>
      </c>
      <c r="B99" t="s">
        <v>507</v>
      </c>
      <c r="C99" t="s">
        <v>157</v>
      </c>
      <c r="D99">
        <v>0.74939999999999996</v>
      </c>
      <c r="E99">
        <v>1.4E-3</v>
      </c>
      <c r="F99">
        <v>0.36940000000000001</v>
      </c>
      <c r="G99" s="46">
        <f>F99 - $F$2</f>
        <v>1.3000000000000234E-3</v>
      </c>
      <c r="H99" s="66"/>
      <c r="I99">
        <v>71</v>
      </c>
    </row>
    <row r="100" spans="1:9">
      <c r="A100" t="s">
        <v>509</v>
      </c>
      <c r="B100" t="s">
        <v>508</v>
      </c>
      <c r="C100" t="s">
        <v>265</v>
      </c>
      <c r="D100">
        <v>0.75019999999999998</v>
      </c>
      <c r="E100">
        <v>3.0000000000000001E-3</v>
      </c>
      <c r="F100">
        <v>0.36930000000000002</v>
      </c>
      <c r="G100" s="46">
        <f>F100 - $F$2</f>
        <v>1.2000000000000344E-3</v>
      </c>
      <c r="H100" s="57"/>
      <c r="I100">
        <v>70</v>
      </c>
    </row>
    <row r="101" spans="1:9">
      <c r="A101" t="s">
        <v>510</v>
      </c>
      <c r="B101" t="s">
        <v>509</v>
      </c>
      <c r="C101" t="s">
        <v>230</v>
      </c>
      <c r="D101">
        <v>0.75019999999999998</v>
      </c>
      <c r="E101">
        <v>3.0999999999999999E-3</v>
      </c>
      <c r="F101">
        <v>0.36699999999999999</v>
      </c>
      <c r="G101" s="46">
        <f>F101 - $F$2</f>
        <v>-1.0999999999999899E-3</v>
      </c>
      <c r="H101" s="66"/>
      <c r="I101">
        <v>69</v>
      </c>
    </row>
    <row r="102" spans="1:9">
      <c r="A102" t="s">
        <v>511</v>
      </c>
      <c r="B102" t="s">
        <v>510</v>
      </c>
      <c r="C102" t="s">
        <v>21</v>
      </c>
      <c r="D102">
        <v>0.75009999999999999</v>
      </c>
      <c r="E102">
        <v>3.3E-3</v>
      </c>
      <c r="F102">
        <v>0.3715</v>
      </c>
      <c r="G102" s="46">
        <f>F102 - $F$2</f>
        <v>3.4000000000000141E-3</v>
      </c>
      <c r="H102" s="57"/>
      <c r="I102">
        <v>68</v>
      </c>
    </row>
    <row r="103" spans="1:9">
      <c r="A103" t="s">
        <v>512</v>
      </c>
      <c r="B103" t="s">
        <v>511</v>
      </c>
      <c r="C103" t="s">
        <v>162</v>
      </c>
      <c r="D103">
        <v>0.74870000000000003</v>
      </c>
      <c r="E103">
        <v>4.7000000000000002E-3</v>
      </c>
      <c r="F103">
        <v>0.3669</v>
      </c>
      <c r="G103" s="46">
        <f>F103 - $F$2</f>
        <v>-1.1999999999999789E-3</v>
      </c>
      <c r="H103" s="66"/>
      <c r="I103">
        <v>67</v>
      </c>
    </row>
    <row r="104" spans="1:9">
      <c r="A104" t="s">
        <v>513</v>
      </c>
      <c r="B104" t="s">
        <v>512</v>
      </c>
      <c r="C104" t="s">
        <v>92</v>
      </c>
      <c r="D104">
        <v>0.75090000000000001</v>
      </c>
      <c r="E104">
        <v>5.4000000000000003E-3</v>
      </c>
      <c r="F104">
        <v>0.36859999999999998</v>
      </c>
      <c r="G104" s="46">
        <f>F104 - $F$2</f>
        <v>5.0000000000000044E-4</v>
      </c>
      <c r="H104" s="57"/>
      <c r="I104">
        <v>66</v>
      </c>
    </row>
    <row r="105" spans="1:9">
      <c r="A105" t="s">
        <v>514</v>
      </c>
      <c r="B105" t="s">
        <v>513</v>
      </c>
      <c r="C105" t="s">
        <v>88</v>
      </c>
      <c r="D105">
        <v>0.75009999999999999</v>
      </c>
      <c r="E105">
        <v>3.8E-3</v>
      </c>
      <c r="F105">
        <v>0.36990000000000001</v>
      </c>
      <c r="G105" s="46">
        <f>F105 - $F$2</f>
        <v>1.8000000000000238E-3</v>
      </c>
      <c r="H105" s="66"/>
      <c r="I105">
        <v>65</v>
      </c>
    </row>
    <row r="106" spans="1:9">
      <c r="A106" t="s">
        <v>515</v>
      </c>
      <c r="B106" t="s">
        <v>514</v>
      </c>
      <c r="C106" t="s">
        <v>252</v>
      </c>
      <c r="D106">
        <v>0.75209999999999999</v>
      </c>
      <c r="E106">
        <v>5.7000000000000002E-3</v>
      </c>
      <c r="F106">
        <v>0.36919999999999997</v>
      </c>
      <c r="G106" s="46">
        <f>F106 - $F$2</f>
        <v>1.0999999999999899E-3</v>
      </c>
      <c r="H106" s="57"/>
      <c r="I106">
        <v>64</v>
      </c>
    </row>
    <row r="107" spans="1:9">
      <c r="A107" t="s">
        <v>516</v>
      </c>
      <c r="B107" t="s">
        <v>515</v>
      </c>
      <c r="C107" t="s">
        <v>143</v>
      </c>
      <c r="D107">
        <v>0.75190000000000001</v>
      </c>
      <c r="E107">
        <v>5.1000000000000004E-3</v>
      </c>
      <c r="F107">
        <v>0.3674</v>
      </c>
      <c r="G107" s="46">
        <f>F107 - $F$2</f>
        <v>-6.9999999999997842E-4</v>
      </c>
      <c r="H107" s="66"/>
      <c r="I107">
        <v>63</v>
      </c>
    </row>
    <row r="108" spans="1:9">
      <c r="A108" t="s">
        <v>517</v>
      </c>
      <c r="B108" t="s">
        <v>516</v>
      </c>
      <c r="C108" t="s">
        <v>160</v>
      </c>
      <c r="D108">
        <v>0.75280000000000002</v>
      </c>
      <c r="E108">
        <v>4.5999999999999999E-3</v>
      </c>
      <c r="F108">
        <v>0.37109999999999999</v>
      </c>
      <c r="G108" s="46">
        <f>F108 - $F$2</f>
        <v>3.0000000000000027E-3</v>
      </c>
      <c r="H108" s="57"/>
      <c r="I108">
        <v>62</v>
      </c>
    </row>
    <row r="109" spans="1:9">
      <c r="A109" t="s">
        <v>518</v>
      </c>
      <c r="B109" t="s">
        <v>517</v>
      </c>
      <c r="C109" t="s">
        <v>231</v>
      </c>
      <c r="D109">
        <v>0.75090000000000001</v>
      </c>
      <c r="E109">
        <v>5.5999999999999999E-3</v>
      </c>
      <c r="F109">
        <v>0.37119999999999997</v>
      </c>
      <c r="G109" s="46">
        <f>F109 - $F$2</f>
        <v>3.0999999999999917E-3</v>
      </c>
      <c r="H109" s="66"/>
      <c r="I109">
        <v>61</v>
      </c>
    </row>
    <row r="110" spans="1:9">
      <c r="A110" t="s">
        <v>519</v>
      </c>
      <c r="B110" t="s">
        <v>518</v>
      </c>
      <c r="C110" t="s">
        <v>53</v>
      </c>
      <c r="D110">
        <v>0.75060000000000004</v>
      </c>
      <c r="E110">
        <v>3.5000000000000001E-3</v>
      </c>
      <c r="F110">
        <v>0.36980000000000002</v>
      </c>
      <c r="G110" s="46">
        <f>F110 - $F$2</f>
        <v>1.7000000000000348E-3</v>
      </c>
      <c r="H110" s="57"/>
      <c r="I110">
        <v>60</v>
      </c>
    </row>
    <row r="111" spans="1:9">
      <c r="A111" t="s">
        <v>520</v>
      </c>
      <c r="B111" t="s">
        <v>519</v>
      </c>
      <c r="C111" t="s">
        <v>232</v>
      </c>
      <c r="D111">
        <v>0.752</v>
      </c>
      <c r="E111">
        <v>3.3999999999999998E-3</v>
      </c>
      <c r="F111">
        <v>0.36980000000000002</v>
      </c>
      <c r="G111" s="46">
        <f>F111 - $F$2</f>
        <v>1.7000000000000348E-3</v>
      </c>
      <c r="H111" s="66"/>
      <c r="I111">
        <v>59</v>
      </c>
    </row>
    <row r="112" spans="1:9">
      <c r="A112" t="s">
        <v>600</v>
      </c>
      <c r="B112" t="s">
        <v>520</v>
      </c>
      <c r="C112" t="s">
        <v>23</v>
      </c>
      <c r="D112">
        <v>0.75219999999999998</v>
      </c>
      <c r="E112">
        <v>3.5999999999999999E-3</v>
      </c>
      <c r="F112">
        <v>0.3674</v>
      </c>
      <c r="G112" s="46">
        <f>F112 - $F$2</f>
        <v>-6.9999999999997842E-4</v>
      </c>
      <c r="H112" s="57"/>
      <c r="I112">
        <v>58</v>
      </c>
    </row>
    <row r="113" spans="1:9">
      <c r="A113" t="s">
        <v>601</v>
      </c>
      <c r="B113" t="s">
        <v>600</v>
      </c>
      <c r="C113" t="s">
        <v>81</v>
      </c>
      <c r="D113">
        <v>0.75119999999999998</v>
      </c>
      <c r="E113">
        <v>4.0000000000000001E-3</v>
      </c>
      <c r="F113">
        <v>0.3679</v>
      </c>
      <c r="G113" s="46">
        <f>F113 - $F$2</f>
        <v>-1.9999999999997797E-4</v>
      </c>
      <c r="H113" s="66"/>
      <c r="I113">
        <v>57</v>
      </c>
    </row>
    <row r="114" spans="1:9">
      <c r="A114" t="s">
        <v>602</v>
      </c>
      <c r="B114" t="s">
        <v>601</v>
      </c>
      <c r="C114" t="s">
        <v>130</v>
      </c>
      <c r="D114">
        <v>0.751</v>
      </c>
      <c r="E114">
        <v>4.4000000000000003E-3</v>
      </c>
      <c r="F114">
        <v>0.36980000000000002</v>
      </c>
      <c r="G114" s="46">
        <f>F114 - $F$2</f>
        <v>1.7000000000000348E-3</v>
      </c>
      <c r="H114" s="57"/>
      <c r="I114">
        <v>56</v>
      </c>
    </row>
    <row r="115" spans="1:9">
      <c r="A115" t="s">
        <v>603</v>
      </c>
      <c r="B115" t="s">
        <v>602</v>
      </c>
      <c r="C115" t="s">
        <v>245</v>
      </c>
      <c r="D115">
        <v>0.75219999999999998</v>
      </c>
      <c r="E115">
        <v>3.0000000000000001E-3</v>
      </c>
      <c r="F115">
        <v>0.37030000000000002</v>
      </c>
      <c r="G115" s="46">
        <f>F115 - $F$2</f>
        <v>2.2000000000000353E-3</v>
      </c>
      <c r="H115" s="66"/>
      <c r="I115">
        <v>55</v>
      </c>
    </row>
    <row r="116" spans="1:9">
      <c r="A116" t="s">
        <v>604</v>
      </c>
      <c r="B116" t="s">
        <v>603</v>
      </c>
      <c r="C116" t="s">
        <v>132</v>
      </c>
      <c r="D116">
        <v>0.75249999999999995</v>
      </c>
      <c r="E116">
        <v>4.3E-3</v>
      </c>
      <c r="F116">
        <v>0.37</v>
      </c>
      <c r="G116" s="46">
        <f>F116 - $F$2</f>
        <v>1.9000000000000128E-3</v>
      </c>
      <c r="H116" s="57"/>
      <c r="I116">
        <v>54</v>
      </c>
    </row>
    <row r="117" spans="1:9">
      <c r="A117" t="s">
        <v>605</v>
      </c>
      <c r="B117" t="s">
        <v>604</v>
      </c>
      <c r="C117" t="s">
        <v>128</v>
      </c>
      <c r="D117">
        <v>0.75160000000000005</v>
      </c>
      <c r="E117">
        <v>5.1000000000000004E-3</v>
      </c>
      <c r="F117">
        <v>0.37359999999999999</v>
      </c>
      <c r="G117" s="46">
        <f>F117 - $F$2</f>
        <v>5.5000000000000049E-3</v>
      </c>
      <c r="H117" s="66"/>
      <c r="I117">
        <v>53</v>
      </c>
    </row>
    <row r="118" spans="1:9">
      <c r="A118" t="s">
        <v>606</v>
      </c>
      <c r="B118" t="s">
        <v>605</v>
      </c>
      <c r="C118" t="s">
        <v>200</v>
      </c>
      <c r="D118">
        <v>0.75160000000000005</v>
      </c>
      <c r="E118">
        <v>3.8E-3</v>
      </c>
      <c r="F118">
        <v>0.36870000000000003</v>
      </c>
      <c r="G118" s="46">
        <f>F118 - $F$2</f>
        <v>6.0000000000004494E-4</v>
      </c>
      <c r="H118" s="57"/>
      <c r="I118">
        <v>52</v>
      </c>
    </row>
    <row r="119" spans="1:9">
      <c r="A119" t="s">
        <v>607</v>
      </c>
      <c r="B119" t="s">
        <v>606</v>
      </c>
      <c r="C119" t="s">
        <v>30</v>
      </c>
      <c r="D119">
        <v>0.75280000000000002</v>
      </c>
      <c r="E119">
        <v>3.3999999999999998E-3</v>
      </c>
      <c r="F119">
        <v>0.371</v>
      </c>
      <c r="G119" s="46">
        <f>F119 - $F$2</f>
        <v>2.9000000000000137E-3</v>
      </c>
      <c r="H119" s="66"/>
      <c r="I119">
        <v>51</v>
      </c>
    </row>
    <row r="120" spans="1:9">
      <c r="A120" t="s">
        <v>608</v>
      </c>
      <c r="B120" t="s">
        <v>607</v>
      </c>
      <c r="C120" t="s">
        <v>167</v>
      </c>
      <c r="D120">
        <v>0.75109999999999999</v>
      </c>
      <c r="E120">
        <v>5.7999999999999996E-3</v>
      </c>
      <c r="F120">
        <v>0.37180000000000002</v>
      </c>
      <c r="G120" s="46">
        <f>F120 - $F$2</f>
        <v>3.7000000000000366E-3</v>
      </c>
      <c r="H120" s="57"/>
      <c r="I120">
        <v>50</v>
      </c>
    </row>
    <row r="121" spans="1:9">
      <c r="A121" t="s">
        <v>609</v>
      </c>
      <c r="B121" t="s">
        <v>608</v>
      </c>
      <c r="C121" t="s">
        <v>20</v>
      </c>
      <c r="D121">
        <v>0.75229999999999997</v>
      </c>
      <c r="E121">
        <v>4.4999999999999997E-3</v>
      </c>
      <c r="F121">
        <v>0.3745</v>
      </c>
      <c r="G121" s="46">
        <f>F121 - $F$2</f>
        <v>6.4000000000000168E-3</v>
      </c>
      <c r="H121" s="66" t="s">
        <v>1541</v>
      </c>
      <c r="I121">
        <v>49</v>
      </c>
    </row>
    <row r="122" spans="1:9">
      <c r="A122" t="s">
        <v>610</v>
      </c>
      <c r="B122" t="s">
        <v>609</v>
      </c>
      <c r="C122" t="s">
        <v>13</v>
      </c>
      <c r="D122">
        <v>0.75249999999999995</v>
      </c>
      <c r="E122">
        <v>4.1000000000000003E-3</v>
      </c>
      <c r="F122">
        <v>0.37259999999999999</v>
      </c>
      <c r="G122" s="46">
        <f>F122 - $F$2</f>
        <v>4.500000000000004E-3</v>
      </c>
      <c r="H122" s="57"/>
      <c r="I122">
        <v>48</v>
      </c>
    </row>
    <row r="123" spans="1:9">
      <c r="A123" t="s">
        <v>611</v>
      </c>
      <c r="B123" t="s">
        <v>610</v>
      </c>
      <c r="C123" t="s">
        <v>126</v>
      </c>
      <c r="D123">
        <v>0.75129999999999997</v>
      </c>
      <c r="E123">
        <v>5.1999999999999998E-3</v>
      </c>
      <c r="F123">
        <v>0.36770000000000003</v>
      </c>
      <c r="G123" s="46">
        <f>F123 - $F$2</f>
        <v>-3.9999999999995595E-4</v>
      </c>
      <c r="H123" s="66"/>
      <c r="I123">
        <v>47</v>
      </c>
    </row>
    <row r="124" spans="1:9">
      <c r="A124" t="s">
        <v>612</v>
      </c>
      <c r="B124" t="s">
        <v>611</v>
      </c>
      <c r="C124" t="s">
        <v>267</v>
      </c>
      <c r="D124">
        <v>0.75339999999999996</v>
      </c>
      <c r="E124">
        <v>3.8E-3</v>
      </c>
      <c r="F124">
        <v>0.37080000000000002</v>
      </c>
      <c r="G124" s="46">
        <f>F124 - $F$2</f>
        <v>2.7000000000000357E-3</v>
      </c>
      <c r="H124" s="57" t="s">
        <v>1540</v>
      </c>
      <c r="I124">
        <v>46</v>
      </c>
    </row>
    <row r="125" spans="1:9">
      <c r="A125" t="s">
        <v>613</v>
      </c>
      <c r="B125" t="s">
        <v>612</v>
      </c>
      <c r="C125" t="s">
        <v>114</v>
      </c>
      <c r="D125">
        <v>0.74209999999999998</v>
      </c>
      <c r="E125">
        <v>3.8999999999999998E-3</v>
      </c>
      <c r="F125">
        <v>0.3468</v>
      </c>
      <c r="G125" s="46">
        <f>F125 - $F$2</f>
        <v>-2.1299999999999986E-2</v>
      </c>
      <c r="H125" s="66" t="s">
        <v>825</v>
      </c>
      <c r="I125">
        <v>45</v>
      </c>
    </row>
    <row r="126" spans="1:9">
      <c r="A126" t="s">
        <v>614</v>
      </c>
      <c r="B126" t="s">
        <v>613</v>
      </c>
      <c r="C126" t="s">
        <v>262</v>
      </c>
      <c r="D126">
        <v>0.74280000000000002</v>
      </c>
      <c r="E126">
        <v>4.4999999999999997E-3</v>
      </c>
      <c r="F126">
        <v>0.3458</v>
      </c>
      <c r="G126" s="46">
        <f>F126 - $F$2</f>
        <v>-2.2299999999999986E-2</v>
      </c>
      <c r="H126" s="57"/>
      <c r="I126">
        <v>44</v>
      </c>
    </row>
    <row r="127" spans="1:9">
      <c r="A127" t="s">
        <v>615</v>
      </c>
      <c r="B127" t="s">
        <v>614</v>
      </c>
      <c r="C127" t="s">
        <v>165</v>
      </c>
      <c r="D127">
        <v>0.74270000000000003</v>
      </c>
      <c r="E127">
        <v>4.5999999999999999E-3</v>
      </c>
      <c r="F127">
        <v>0.34739999999999999</v>
      </c>
      <c r="G127" s="46">
        <f>F127 - $F$2</f>
        <v>-2.0699999999999996E-2</v>
      </c>
      <c r="H127" s="66"/>
      <c r="I127">
        <v>43</v>
      </c>
    </row>
    <row r="128" spans="1:9">
      <c r="A128" t="s">
        <v>616</v>
      </c>
      <c r="B128" t="s">
        <v>615</v>
      </c>
      <c r="C128" t="s">
        <v>266</v>
      </c>
      <c r="D128">
        <v>0.74239999999999995</v>
      </c>
      <c r="E128">
        <v>5.4000000000000003E-3</v>
      </c>
      <c r="F128">
        <v>0.34360000000000002</v>
      </c>
      <c r="G128" s="46">
        <f>F128 - $F$2</f>
        <v>-2.4499999999999966E-2</v>
      </c>
      <c r="H128" s="57"/>
      <c r="I128">
        <v>42</v>
      </c>
    </row>
    <row r="129" spans="1:9">
      <c r="A129" t="s">
        <v>617</v>
      </c>
      <c r="B129" t="s">
        <v>616</v>
      </c>
      <c r="C129" t="s">
        <v>127</v>
      </c>
      <c r="D129">
        <v>0.74199999999999999</v>
      </c>
      <c r="E129">
        <v>2.8999999999999998E-3</v>
      </c>
      <c r="F129">
        <v>0.34820000000000001</v>
      </c>
      <c r="G129" s="46">
        <f>F129 - $F$2</f>
        <v>-1.9899999999999973E-2</v>
      </c>
      <c r="H129" s="66"/>
      <c r="I129">
        <v>41</v>
      </c>
    </row>
    <row r="130" spans="1:9">
      <c r="A130" t="s">
        <v>618</v>
      </c>
      <c r="B130" t="s">
        <v>617</v>
      </c>
      <c r="C130" t="s">
        <v>134</v>
      </c>
      <c r="D130">
        <v>0.74119999999999997</v>
      </c>
      <c r="E130">
        <v>5.1000000000000004E-3</v>
      </c>
      <c r="F130">
        <v>0.34720000000000001</v>
      </c>
      <c r="G130" s="46">
        <f>F130 - $F$2</f>
        <v>-2.0899999999999974E-2</v>
      </c>
      <c r="H130" s="57"/>
      <c r="I130">
        <v>40</v>
      </c>
    </row>
    <row r="131" spans="1:9">
      <c r="A131" t="s">
        <v>619</v>
      </c>
      <c r="B131" t="s">
        <v>618</v>
      </c>
      <c r="C131" t="s">
        <v>67</v>
      </c>
      <c r="D131">
        <v>0.746</v>
      </c>
      <c r="E131">
        <v>4.0000000000000001E-3</v>
      </c>
      <c r="F131">
        <v>0.34639999999999999</v>
      </c>
      <c r="G131" s="46">
        <f>F131 - $F$2</f>
        <v>-2.1699999999999997E-2</v>
      </c>
      <c r="H131" s="66"/>
      <c r="I131">
        <v>39</v>
      </c>
    </row>
    <row r="132" spans="1:9">
      <c r="A132" t="s">
        <v>620</v>
      </c>
      <c r="B132" t="s">
        <v>619</v>
      </c>
      <c r="C132" t="s">
        <v>214</v>
      </c>
      <c r="D132">
        <v>0.74339999999999995</v>
      </c>
      <c r="E132">
        <v>6.1000000000000004E-3</v>
      </c>
      <c r="F132">
        <v>0.34449999999999997</v>
      </c>
      <c r="G132" s="46">
        <f>F132 - $F$2</f>
        <v>-2.360000000000001E-2</v>
      </c>
      <c r="H132" s="57"/>
      <c r="I132">
        <v>38</v>
      </c>
    </row>
    <row r="133" spans="1:9">
      <c r="A133" t="s">
        <v>621</v>
      </c>
      <c r="B133" t="s">
        <v>620</v>
      </c>
      <c r="C133" t="s">
        <v>177</v>
      </c>
      <c r="D133">
        <v>0.74539999999999995</v>
      </c>
      <c r="E133">
        <v>3.2000000000000002E-3</v>
      </c>
      <c r="F133">
        <v>0.3458</v>
      </c>
      <c r="G133" s="46">
        <f>F133 - $F$2</f>
        <v>-2.2299999999999986E-2</v>
      </c>
      <c r="H133" s="66"/>
      <c r="I133">
        <v>37</v>
      </c>
    </row>
    <row r="134" spans="1:9">
      <c r="A134" t="s">
        <v>622</v>
      </c>
      <c r="B134" t="s">
        <v>621</v>
      </c>
      <c r="C134" t="s">
        <v>159</v>
      </c>
      <c r="D134">
        <v>0.74570000000000003</v>
      </c>
      <c r="E134">
        <v>4.5999999999999999E-3</v>
      </c>
      <c r="F134">
        <v>0.34799999999999998</v>
      </c>
      <c r="G134" s="46">
        <f>F134 - $F$2</f>
        <v>-2.0100000000000007E-2</v>
      </c>
      <c r="H134" s="57"/>
      <c r="I134">
        <v>36</v>
      </c>
    </row>
    <row r="135" spans="1:9">
      <c r="A135" t="s">
        <v>623</v>
      </c>
      <c r="B135" t="s">
        <v>622</v>
      </c>
      <c r="C135" t="s">
        <v>307</v>
      </c>
      <c r="D135">
        <v>0.74660000000000004</v>
      </c>
      <c r="E135">
        <v>4.5999999999999999E-3</v>
      </c>
      <c r="F135">
        <v>0.34510000000000002</v>
      </c>
      <c r="G135" s="46">
        <f>F135 - $F$2</f>
        <v>-2.2999999999999965E-2</v>
      </c>
      <c r="H135" s="66"/>
      <c r="I135">
        <v>35</v>
      </c>
    </row>
    <row r="136" spans="1:9">
      <c r="A136" t="s">
        <v>624</v>
      </c>
      <c r="B136" t="s">
        <v>623</v>
      </c>
      <c r="C136" t="s">
        <v>46</v>
      </c>
      <c r="D136">
        <v>0.748</v>
      </c>
      <c r="E136">
        <v>3.0000000000000001E-3</v>
      </c>
      <c r="F136">
        <v>0.34160000000000001</v>
      </c>
      <c r="G136" s="46">
        <f>F136 - $F$2</f>
        <v>-2.6499999999999968E-2</v>
      </c>
      <c r="H136" s="57"/>
      <c r="I136">
        <v>34</v>
      </c>
    </row>
    <row r="137" spans="1:9">
      <c r="A137" t="s">
        <v>625</v>
      </c>
      <c r="B137" t="s">
        <v>624</v>
      </c>
      <c r="C137" t="s">
        <v>156</v>
      </c>
      <c r="D137">
        <v>0.74709999999999999</v>
      </c>
      <c r="E137">
        <v>5.0000000000000001E-3</v>
      </c>
      <c r="F137">
        <v>0.34589999999999999</v>
      </c>
      <c r="G137" s="46">
        <f>F137 - $F$2</f>
        <v>-2.2199999999999998E-2</v>
      </c>
      <c r="H137" s="66"/>
      <c r="I137">
        <v>33</v>
      </c>
    </row>
    <row r="138" spans="1:9">
      <c r="A138" t="s">
        <v>626</v>
      </c>
      <c r="B138" t="s">
        <v>625</v>
      </c>
      <c r="C138" t="s">
        <v>253</v>
      </c>
      <c r="D138">
        <v>0.74670000000000003</v>
      </c>
      <c r="E138">
        <v>2.3999999999999998E-3</v>
      </c>
      <c r="F138">
        <v>0.34160000000000001</v>
      </c>
      <c r="G138" s="46">
        <f>F138 - $F$2</f>
        <v>-2.6499999999999968E-2</v>
      </c>
      <c r="H138" s="57"/>
      <c r="I138">
        <v>32</v>
      </c>
    </row>
    <row r="139" spans="1:9">
      <c r="A139" t="s">
        <v>627</v>
      </c>
      <c r="B139" t="s">
        <v>626</v>
      </c>
      <c r="C139" t="s">
        <v>337</v>
      </c>
      <c r="D139">
        <v>0.74570000000000003</v>
      </c>
      <c r="E139">
        <v>5.4000000000000003E-3</v>
      </c>
      <c r="F139">
        <v>0.34410000000000002</v>
      </c>
      <c r="G139" s="46">
        <f>F139 - $F$2</f>
        <v>-2.3999999999999966E-2</v>
      </c>
      <c r="H139" s="66"/>
      <c r="I139">
        <v>31</v>
      </c>
    </row>
    <row r="140" spans="1:9">
      <c r="A140" t="s">
        <v>628</v>
      </c>
      <c r="B140" t="s">
        <v>627</v>
      </c>
      <c r="C140" t="s">
        <v>135</v>
      </c>
      <c r="D140">
        <v>0.74539999999999995</v>
      </c>
      <c r="E140">
        <v>3.7000000000000002E-3</v>
      </c>
      <c r="F140">
        <v>0.33910000000000001</v>
      </c>
      <c r="G140" s="46">
        <f>F140 - $F$2</f>
        <v>-2.899999999999997E-2</v>
      </c>
      <c r="H140" s="57"/>
      <c r="I140">
        <v>30</v>
      </c>
    </row>
    <row r="141" spans="1:9">
      <c r="A141" t="s">
        <v>629</v>
      </c>
      <c r="B141" t="s">
        <v>628</v>
      </c>
      <c r="C141" t="s">
        <v>244</v>
      </c>
      <c r="D141">
        <v>0.74529999999999996</v>
      </c>
      <c r="E141">
        <v>3.0000000000000001E-3</v>
      </c>
      <c r="F141">
        <v>0.33910000000000001</v>
      </c>
      <c r="G141" s="46">
        <f>F141 - $F$2</f>
        <v>-2.899999999999997E-2</v>
      </c>
      <c r="H141" s="66"/>
      <c r="I141">
        <v>29</v>
      </c>
    </row>
    <row r="142" spans="1:9">
      <c r="A142" t="s">
        <v>630</v>
      </c>
      <c r="B142" t="s">
        <v>629</v>
      </c>
      <c r="C142" t="s">
        <v>249</v>
      </c>
      <c r="D142">
        <v>0.74239999999999995</v>
      </c>
      <c r="E142">
        <v>4.3E-3</v>
      </c>
      <c r="F142">
        <v>0.3412</v>
      </c>
      <c r="G142" s="46">
        <f>F142 - $F$2</f>
        <v>-2.6899999999999979E-2</v>
      </c>
      <c r="H142" s="57"/>
      <c r="I142">
        <v>28</v>
      </c>
    </row>
    <row r="143" spans="1:9">
      <c r="A143" t="s">
        <v>631</v>
      </c>
      <c r="B143" t="s">
        <v>630</v>
      </c>
      <c r="C143" t="s">
        <v>207</v>
      </c>
      <c r="D143">
        <v>0.74299999999999999</v>
      </c>
      <c r="E143">
        <v>1.6999999999999999E-3</v>
      </c>
      <c r="F143">
        <v>0.34549999999999997</v>
      </c>
      <c r="G143" s="46">
        <f>F143 - $F$2</f>
        <v>-2.2600000000000009E-2</v>
      </c>
      <c r="H143" s="66"/>
      <c r="I143">
        <v>27</v>
      </c>
    </row>
    <row r="144" spans="1:9">
      <c r="A144" t="s">
        <v>632</v>
      </c>
      <c r="B144" t="s">
        <v>631</v>
      </c>
      <c r="C144" t="s">
        <v>209</v>
      </c>
      <c r="D144">
        <v>0.74280000000000002</v>
      </c>
      <c r="E144">
        <v>2.5000000000000001E-3</v>
      </c>
      <c r="F144">
        <v>0.34360000000000002</v>
      </c>
      <c r="G144" s="46">
        <f>F144 - $F$2</f>
        <v>-2.4499999999999966E-2</v>
      </c>
      <c r="H144" s="57"/>
      <c r="I144">
        <v>26</v>
      </c>
    </row>
    <row r="145" spans="1:9">
      <c r="A145" t="s">
        <v>633</v>
      </c>
      <c r="B145" t="s">
        <v>632</v>
      </c>
      <c r="C145" t="s">
        <v>184</v>
      </c>
      <c r="D145">
        <v>0.74239999999999995</v>
      </c>
      <c r="E145">
        <v>4.3E-3</v>
      </c>
      <c r="F145">
        <v>0.34560000000000002</v>
      </c>
      <c r="G145" s="46">
        <f>F145 - $F$2</f>
        <v>-2.2499999999999964E-2</v>
      </c>
      <c r="H145" s="66"/>
      <c r="I145">
        <v>25</v>
      </c>
    </row>
    <row r="146" spans="1:9">
      <c r="A146" t="s">
        <v>634</v>
      </c>
      <c r="B146" t="s">
        <v>633</v>
      </c>
      <c r="C146" t="s">
        <v>36</v>
      </c>
      <c r="D146">
        <v>0.74319999999999997</v>
      </c>
      <c r="E146">
        <v>3.0999999999999999E-3</v>
      </c>
      <c r="F146">
        <v>0.34489999999999998</v>
      </c>
      <c r="G146" s="46">
        <f>F146 - $F$2</f>
        <v>-2.3199999999999998E-2</v>
      </c>
      <c r="H146" s="57"/>
      <c r="I146">
        <v>24</v>
      </c>
    </row>
    <row r="147" spans="1:9">
      <c r="A147" t="s">
        <v>635</v>
      </c>
      <c r="B147" t="s">
        <v>634</v>
      </c>
      <c r="C147" t="s">
        <v>137</v>
      </c>
      <c r="D147">
        <v>0.74170000000000003</v>
      </c>
      <c r="E147">
        <v>1.6000000000000001E-3</v>
      </c>
      <c r="F147">
        <v>0.34229999999999999</v>
      </c>
      <c r="G147" s="46">
        <f>F147 - $F$2</f>
        <v>-2.579999999999999E-2</v>
      </c>
      <c r="H147" s="66"/>
      <c r="I147">
        <v>23</v>
      </c>
    </row>
    <row r="148" spans="1:9">
      <c r="A148" t="s">
        <v>636</v>
      </c>
      <c r="B148" t="s">
        <v>635</v>
      </c>
      <c r="C148" t="s">
        <v>239</v>
      </c>
      <c r="D148">
        <v>0.74029999999999996</v>
      </c>
      <c r="E148">
        <v>1.6999999999999999E-3</v>
      </c>
      <c r="F148">
        <v>0.33979999999999999</v>
      </c>
      <c r="G148" s="46">
        <f>F148 - $F$2</f>
        <v>-2.8299999999999992E-2</v>
      </c>
      <c r="H148" s="57"/>
      <c r="I148">
        <v>22</v>
      </c>
    </row>
    <row r="149" spans="1:9">
      <c r="A149" t="s">
        <v>637</v>
      </c>
      <c r="B149" t="s">
        <v>636</v>
      </c>
      <c r="C149" t="s">
        <v>330</v>
      </c>
      <c r="D149">
        <v>0.74329999999999996</v>
      </c>
      <c r="E149">
        <v>3.3E-3</v>
      </c>
      <c r="F149">
        <v>0.34260000000000002</v>
      </c>
      <c r="G149" s="46">
        <f>F149 - $F$2</f>
        <v>-2.5499999999999967E-2</v>
      </c>
      <c r="H149" s="66"/>
      <c r="I149">
        <v>21</v>
      </c>
    </row>
    <row r="150" spans="1:9">
      <c r="A150" t="s">
        <v>638</v>
      </c>
      <c r="B150" t="s">
        <v>637</v>
      </c>
      <c r="C150" t="s">
        <v>248</v>
      </c>
      <c r="D150">
        <v>0.73880000000000001</v>
      </c>
      <c r="E150">
        <v>2.5999999999999999E-3</v>
      </c>
      <c r="F150">
        <v>0.3407</v>
      </c>
      <c r="G150" s="46">
        <f>F150 - $F$2</f>
        <v>-2.739999999999998E-2</v>
      </c>
      <c r="H150" s="57"/>
      <c r="I150">
        <v>20</v>
      </c>
    </row>
    <row r="151" spans="1:9">
      <c r="A151" t="s">
        <v>639</v>
      </c>
      <c r="B151" t="s">
        <v>638</v>
      </c>
      <c r="C151" t="s">
        <v>222</v>
      </c>
      <c r="D151">
        <v>0.73719999999999997</v>
      </c>
      <c r="E151">
        <v>2.7000000000000001E-3</v>
      </c>
      <c r="F151">
        <v>0.33889999999999998</v>
      </c>
      <c r="G151" s="46">
        <f>F151 - $F$2</f>
        <v>-2.9200000000000004E-2</v>
      </c>
      <c r="H151" s="66"/>
      <c r="I151">
        <v>19</v>
      </c>
    </row>
    <row r="152" spans="1:9">
      <c r="A152" t="s">
        <v>640</v>
      </c>
      <c r="B152" t="s">
        <v>639</v>
      </c>
      <c r="C152" t="s">
        <v>302</v>
      </c>
      <c r="D152">
        <v>0.73409999999999997</v>
      </c>
      <c r="E152">
        <v>2.5999999999999999E-3</v>
      </c>
      <c r="F152">
        <v>0.33900000000000002</v>
      </c>
      <c r="G152" s="46">
        <f>F152 - $F$2</f>
        <v>-2.9099999999999959E-2</v>
      </c>
      <c r="H152" s="57"/>
      <c r="I152">
        <v>18</v>
      </c>
    </row>
    <row r="153" spans="1:9">
      <c r="A153" t="s">
        <v>641</v>
      </c>
      <c r="B153" t="s">
        <v>640</v>
      </c>
      <c r="C153" t="s">
        <v>171</v>
      </c>
      <c r="D153">
        <v>0.73409999999999997</v>
      </c>
      <c r="E153">
        <v>4.3E-3</v>
      </c>
      <c r="F153">
        <v>0.34179999999999999</v>
      </c>
      <c r="G153" s="46">
        <f>F153 - $F$2</f>
        <v>-2.629999999999999E-2</v>
      </c>
      <c r="H153" s="66"/>
      <c r="I153">
        <v>17</v>
      </c>
    </row>
    <row r="154" spans="1:9">
      <c r="A154" t="s">
        <v>642</v>
      </c>
      <c r="B154" t="s">
        <v>641</v>
      </c>
      <c r="C154" t="s">
        <v>161</v>
      </c>
      <c r="D154">
        <v>0.73250000000000004</v>
      </c>
      <c r="E154">
        <v>4.8999999999999998E-3</v>
      </c>
      <c r="F154">
        <v>0.3382</v>
      </c>
      <c r="G154" s="46">
        <f>F154 - $F$2</f>
        <v>-2.9899999999999982E-2</v>
      </c>
      <c r="H154" s="57"/>
      <c r="I154">
        <v>16</v>
      </c>
    </row>
    <row r="155" spans="1:9">
      <c r="A155" t="s">
        <v>643</v>
      </c>
      <c r="B155" t="s">
        <v>642</v>
      </c>
      <c r="C155" t="s">
        <v>306</v>
      </c>
      <c r="D155">
        <v>0.73129999999999995</v>
      </c>
      <c r="E155">
        <v>2.8999999999999998E-3</v>
      </c>
      <c r="F155">
        <v>0.3387</v>
      </c>
      <c r="G155" s="46">
        <f>F155 - $F$2</f>
        <v>-2.9399999999999982E-2</v>
      </c>
      <c r="H155" s="66"/>
      <c r="I155">
        <v>15</v>
      </c>
    </row>
    <row r="156" spans="1:9">
      <c r="A156" t="s">
        <v>644</v>
      </c>
      <c r="B156" t="s">
        <v>643</v>
      </c>
      <c r="C156" t="s">
        <v>336</v>
      </c>
      <c r="D156">
        <v>0.72340000000000004</v>
      </c>
      <c r="E156">
        <v>1.6999999999999999E-3</v>
      </c>
      <c r="F156">
        <v>0.33829999999999999</v>
      </c>
      <c r="G156" s="46">
        <f>F156 - $F$2</f>
        <v>-2.9799999999999993E-2</v>
      </c>
      <c r="H156" s="57"/>
      <c r="I156">
        <v>14</v>
      </c>
    </row>
    <row r="157" spans="1:9">
      <c r="A157" t="s">
        <v>645</v>
      </c>
      <c r="B157" t="s">
        <v>644</v>
      </c>
      <c r="C157" t="s">
        <v>314</v>
      </c>
      <c r="D157">
        <v>0.72219999999999995</v>
      </c>
      <c r="E157">
        <v>3.5000000000000001E-3</v>
      </c>
      <c r="F157">
        <v>0.33479999999999999</v>
      </c>
      <c r="G157" s="46">
        <f>F157 - $F$2</f>
        <v>-3.3299999999999996E-2</v>
      </c>
      <c r="H157" s="66"/>
      <c r="I157">
        <v>13</v>
      </c>
    </row>
    <row r="158" spans="1:9">
      <c r="A158" t="s">
        <v>646</v>
      </c>
      <c r="B158" t="s">
        <v>645</v>
      </c>
      <c r="C158" t="s">
        <v>71</v>
      </c>
      <c r="D158">
        <v>0.72389999999999999</v>
      </c>
      <c r="E158">
        <v>4.7000000000000002E-3</v>
      </c>
      <c r="F158">
        <v>0.33979999999999999</v>
      </c>
      <c r="G158" s="46">
        <f>F158 - $F$2</f>
        <v>-2.8299999999999992E-2</v>
      </c>
      <c r="H158" s="57"/>
      <c r="I158">
        <v>12</v>
      </c>
    </row>
    <row r="159" spans="1:9">
      <c r="A159" t="s">
        <v>647</v>
      </c>
      <c r="B159" t="s">
        <v>646</v>
      </c>
      <c r="C159" t="s">
        <v>155</v>
      </c>
      <c r="D159">
        <v>0.71419999999999995</v>
      </c>
      <c r="E159">
        <v>3.7000000000000002E-3</v>
      </c>
      <c r="F159">
        <v>0.34079999999999999</v>
      </c>
      <c r="G159" s="46">
        <f>F159 - $F$2</f>
        <v>-2.7299999999999991E-2</v>
      </c>
      <c r="H159" s="66"/>
      <c r="I159">
        <v>11</v>
      </c>
    </row>
    <row r="160" spans="1:9">
      <c r="A160" t="s">
        <v>648</v>
      </c>
      <c r="B160" t="s">
        <v>647</v>
      </c>
      <c r="C160" t="s">
        <v>35</v>
      </c>
      <c r="D160">
        <v>0.71360000000000001</v>
      </c>
      <c r="E160">
        <v>3.8999999999999998E-3</v>
      </c>
      <c r="F160">
        <v>0.33379999999999999</v>
      </c>
      <c r="G160" s="46">
        <f>F160 - $F$2</f>
        <v>-3.4299999999999997E-2</v>
      </c>
      <c r="H160" s="57"/>
      <c r="I160">
        <v>10</v>
      </c>
    </row>
    <row r="161" spans="1:9">
      <c r="A161" t="s">
        <v>649</v>
      </c>
      <c r="B161" t="s">
        <v>648</v>
      </c>
      <c r="C161" t="s">
        <v>329</v>
      </c>
      <c r="D161">
        <v>0.70640000000000003</v>
      </c>
      <c r="E161">
        <v>2.5999999999999999E-3</v>
      </c>
      <c r="F161">
        <v>0.3362</v>
      </c>
      <c r="G161" s="46">
        <f>F161 - $F$2</f>
        <v>-3.1899999999999984E-2</v>
      </c>
      <c r="H161" s="66"/>
      <c r="I161">
        <v>9</v>
      </c>
    </row>
    <row r="162" spans="1:9">
      <c r="A162" t="s">
        <v>650</v>
      </c>
      <c r="B162" t="s">
        <v>649</v>
      </c>
      <c r="C162" t="s">
        <v>250</v>
      </c>
      <c r="D162">
        <v>0.70009999999999994</v>
      </c>
      <c r="E162">
        <v>3.2000000000000002E-3</v>
      </c>
      <c r="F162">
        <v>0.33500000000000002</v>
      </c>
      <c r="G162" s="46">
        <f>F162 - $F$2</f>
        <v>-3.3099999999999963E-2</v>
      </c>
      <c r="H162" s="57"/>
      <c r="I162">
        <v>8</v>
      </c>
    </row>
    <row r="163" spans="1:9">
      <c r="A163" t="s">
        <v>651</v>
      </c>
      <c r="B163" t="s">
        <v>650</v>
      </c>
      <c r="C163" t="s">
        <v>226</v>
      </c>
      <c r="D163">
        <v>0.69550000000000001</v>
      </c>
      <c r="E163">
        <v>5.0000000000000001E-3</v>
      </c>
      <c r="F163">
        <v>0.3357</v>
      </c>
      <c r="G163" s="46">
        <f>F163 - $F$2</f>
        <v>-3.2399999999999984E-2</v>
      </c>
      <c r="H163" s="66"/>
      <c r="I163">
        <v>7</v>
      </c>
    </row>
    <row r="164" spans="1:9">
      <c r="A164" t="s">
        <v>652</v>
      </c>
      <c r="B164" t="s">
        <v>651</v>
      </c>
      <c r="C164" t="s">
        <v>33</v>
      </c>
      <c r="D164">
        <v>0.68379999999999996</v>
      </c>
      <c r="E164">
        <v>2.8999999999999998E-3</v>
      </c>
      <c r="F164">
        <v>0.29830000000000001</v>
      </c>
      <c r="G164" s="46">
        <f>F164 - $F$2</f>
        <v>-6.9799999999999973E-2</v>
      </c>
      <c r="H164" s="57" t="s">
        <v>826</v>
      </c>
      <c r="I164">
        <v>6</v>
      </c>
    </row>
    <row r="165" spans="1:9">
      <c r="A165" t="s">
        <v>653</v>
      </c>
      <c r="B165" t="s">
        <v>652</v>
      </c>
      <c r="C165" t="s">
        <v>237</v>
      </c>
      <c r="D165">
        <v>0.6643</v>
      </c>
      <c r="E165">
        <v>4.0000000000000001E-3</v>
      </c>
      <c r="F165">
        <v>0.29210000000000003</v>
      </c>
      <c r="G165" s="46">
        <f>F165 - $F$2</f>
        <v>-7.5999999999999956E-2</v>
      </c>
      <c r="H165" s="66"/>
      <c r="I165">
        <v>5</v>
      </c>
    </row>
    <row r="166" spans="1:9">
      <c r="A166" t="s">
        <v>654</v>
      </c>
      <c r="B166" t="s">
        <v>653</v>
      </c>
      <c r="C166" t="s">
        <v>107</v>
      </c>
      <c r="D166">
        <v>0.62580000000000002</v>
      </c>
      <c r="E166">
        <v>3.3E-3</v>
      </c>
      <c r="F166">
        <v>0.2752</v>
      </c>
      <c r="G166" s="46">
        <f>F166 - $F$2</f>
        <v>-9.2899999999999983E-2</v>
      </c>
      <c r="H166" s="57"/>
      <c r="I166">
        <v>4</v>
      </c>
    </row>
    <row r="167" spans="1:9">
      <c r="A167" t="s">
        <v>655</v>
      </c>
      <c r="B167" t="s">
        <v>654</v>
      </c>
      <c r="C167" t="s">
        <v>297</v>
      </c>
      <c r="D167">
        <v>0.60409999999999997</v>
      </c>
      <c r="E167">
        <v>4.1000000000000003E-3</v>
      </c>
      <c r="F167">
        <v>0.2747</v>
      </c>
      <c r="G167" s="46">
        <f>F167 - $F$2</f>
        <v>-9.3399999999999983E-2</v>
      </c>
      <c r="H167" s="66"/>
      <c r="I167">
        <v>3</v>
      </c>
    </row>
    <row r="168" spans="1:9">
      <c r="A168" t="s">
        <v>656</v>
      </c>
      <c r="B168" t="s">
        <v>655</v>
      </c>
      <c r="C168" t="s">
        <v>28</v>
      </c>
      <c r="D168">
        <v>0.51829999999999998</v>
      </c>
      <c r="E168">
        <v>4.7000000000000002E-3</v>
      </c>
      <c r="F168" s="80">
        <v>0.24279999999999999</v>
      </c>
      <c r="G168" s="46">
        <f>F168 - $F$2</f>
        <v>-0.12529999999999999</v>
      </c>
      <c r="H168" s="57"/>
      <c r="I168">
        <v>2</v>
      </c>
    </row>
    <row r="169" spans="1:9">
      <c r="A169" s="63"/>
      <c r="B169" s="63"/>
      <c r="C169" s="89" t="s">
        <v>187</v>
      </c>
      <c r="D169" s="90"/>
      <c r="E169" s="90"/>
      <c r="F169" s="92"/>
      <c r="G169" s="91"/>
      <c r="H169" s="66"/>
      <c r="I169" s="89"/>
    </row>
    <row r="170" spans="1:9">
      <c r="C170" s="82" t="s">
        <v>31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FD9A-2E3E-4BC7-ADAC-28F2D5CE125C}">
  <dimension ref="A1:M169"/>
  <sheetViews>
    <sheetView topLeftCell="A85" workbookViewId="0">
      <selection activeCell="U35" sqref="U35"/>
    </sheetView>
  </sheetViews>
  <sheetFormatPr defaultRowHeight="16.5"/>
  <cols>
    <col min="1" max="1" width="9.25" bestFit="1" customWidth="1"/>
    <col min="2" max="2" width="11.625" bestFit="1" customWidth="1"/>
    <col min="3" max="3" width="37.25" bestFit="1" customWidth="1"/>
    <col min="4" max="4" width="29.25" bestFit="1" customWidth="1"/>
    <col min="5" max="5" width="10.875" bestFit="1" customWidth="1"/>
    <col min="6" max="6" width="19.75" bestFit="1" customWidth="1"/>
    <col min="7" max="7" width="9.375" bestFit="1" customWidth="1"/>
    <col min="8" max="8" width="29.25" bestFit="1" customWidth="1"/>
    <col min="9" max="9" width="9.375" bestFit="1" customWidth="1"/>
    <col min="10" max="10" width="12.875" bestFit="1" customWidth="1"/>
    <col min="11" max="11" width="14.125" bestFit="1" customWidth="1"/>
    <col min="12" max="12" width="9.625" bestFit="1" customWidth="1"/>
    <col min="13" max="13" width="15.125" bestFit="1" customWidth="1"/>
  </cols>
  <sheetData>
    <row r="1" spans="1:13">
      <c r="A1" t="s">
        <v>345</v>
      </c>
      <c r="B1" t="s">
        <v>593</v>
      </c>
      <c r="C1" t="s">
        <v>347</v>
      </c>
      <c r="D1" t="s">
        <v>829</v>
      </c>
      <c r="E1" t="s">
        <v>830</v>
      </c>
      <c r="F1" t="s">
        <v>831</v>
      </c>
      <c r="G1" t="s">
        <v>832</v>
      </c>
      <c r="H1" t="s">
        <v>833</v>
      </c>
      <c r="I1" t="s">
        <v>834</v>
      </c>
      <c r="J1" t="s">
        <v>657</v>
      </c>
      <c r="K1" t="s">
        <v>594</v>
      </c>
      <c r="L1" t="s">
        <v>595</v>
      </c>
      <c r="M1" t="s">
        <v>596</v>
      </c>
    </row>
    <row r="2" spans="1:13">
      <c r="A2" t="s">
        <v>597</v>
      </c>
      <c r="B2" t="s">
        <v>598</v>
      </c>
      <c r="C2" t="s">
        <v>599</v>
      </c>
      <c r="D2" t="s">
        <v>598</v>
      </c>
      <c r="E2" t="s">
        <v>550</v>
      </c>
      <c r="F2" t="s">
        <v>550</v>
      </c>
      <c r="G2" t="s">
        <v>550</v>
      </c>
      <c r="H2" t="s">
        <v>550</v>
      </c>
      <c r="I2" t="s">
        <v>550</v>
      </c>
      <c r="J2">
        <v>168</v>
      </c>
      <c r="K2">
        <v>0.74229999999999996</v>
      </c>
      <c r="L2">
        <v>4.4000000000000003E-3</v>
      </c>
      <c r="M2">
        <v>0.37040000000000001</v>
      </c>
    </row>
    <row r="3" spans="1:13">
      <c r="A3" t="s">
        <v>357</v>
      </c>
      <c r="B3" t="s">
        <v>597</v>
      </c>
      <c r="C3" t="s">
        <v>658</v>
      </c>
      <c r="D3" t="s">
        <v>99</v>
      </c>
      <c r="E3" t="s">
        <v>835</v>
      </c>
      <c r="F3" t="s">
        <v>31</v>
      </c>
      <c r="G3">
        <v>0.74109999999999998</v>
      </c>
      <c r="H3" t="s">
        <v>99</v>
      </c>
      <c r="I3">
        <v>0.74199999999999999</v>
      </c>
      <c r="J3">
        <v>167</v>
      </c>
      <c r="K3">
        <v>0.74229999999999996</v>
      </c>
      <c r="L3">
        <v>4.4000000000000003E-3</v>
      </c>
      <c r="M3">
        <v>0.36830000000000002</v>
      </c>
    </row>
    <row r="4" spans="1:13">
      <c r="A4" t="s">
        <v>359</v>
      </c>
      <c r="B4" t="s">
        <v>357</v>
      </c>
      <c r="C4" t="s">
        <v>659</v>
      </c>
      <c r="D4" t="s">
        <v>190</v>
      </c>
      <c r="E4" t="s">
        <v>835</v>
      </c>
      <c r="F4" t="s">
        <v>31</v>
      </c>
      <c r="G4">
        <v>0.74109999999999998</v>
      </c>
      <c r="H4" t="s">
        <v>190</v>
      </c>
      <c r="I4">
        <v>0.74229999999999996</v>
      </c>
      <c r="J4">
        <v>166</v>
      </c>
      <c r="K4">
        <v>0.74229999999999996</v>
      </c>
      <c r="L4">
        <v>4.4000000000000003E-3</v>
      </c>
      <c r="M4">
        <v>0.36830000000000002</v>
      </c>
    </row>
    <row r="5" spans="1:13">
      <c r="A5" t="s">
        <v>362</v>
      </c>
      <c r="B5" t="s">
        <v>359</v>
      </c>
      <c r="C5" t="s">
        <v>660</v>
      </c>
      <c r="D5" t="s">
        <v>110</v>
      </c>
      <c r="E5" t="s">
        <v>835</v>
      </c>
      <c r="F5" t="s">
        <v>31</v>
      </c>
      <c r="G5">
        <v>0.74109999999999998</v>
      </c>
      <c r="H5" t="s">
        <v>110</v>
      </c>
      <c r="I5">
        <v>0.74229999999999996</v>
      </c>
      <c r="J5">
        <v>165</v>
      </c>
      <c r="K5">
        <v>0.74229999999999996</v>
      </c>
      <c r="L5">
        <v>4.4000000000000003E-3</v>
      </c>
      <c r="M5">
        <v>0.36820000000000003</v>
      </c>
    </row>
    <row r="6" spans="1:13">
      <c r="A6" t="s">
        <v>365</v>
      </c>
      <c r="B6" t="s">
        <v>362</v>
      </c>
      <c r="C6" t="s">
        <v>661</v>
      </c>
      <c r="D6" t="s">
        <v>193</v>
      </c>
      <c r="E6" t="s">
        <v>835</v>
      </c>
      <c r="F6" t="s">
        <v>31</v>
      </c>
      <c r="G6">
        <v>0.74109999999999998</v>
      </c>
      <c r="H6" t="s">
        <v>193</v>
      </c>
      <c r="I6">
        <v>0.74229999999999996</v>
      </c>
      <c r="J6">
        <v>164</v>
      </c>
      <c r="K6">
        <v>0.74229999999999996</v>
      </c>
      <c r="L6">
        <v>4.4000000000000003E-3</v>
      </c>
      <c r="M6">
        <v>0.36820000000000003</v>
      </c>
    </row>
    <row r="7" spans="1:13">
      <c r="A7" t="s">
        <v>368</v>
      </c>
      <c r="B7" t="s">
        <v>365</v>
      </c>
      <c r="C7" t="s">
        <v>662</v>
      </c>
      <c r="D7" t="s">
        <v>339</v>
      </c>
      <c r="E7" t="s">
        <v>835</v>
      </c>
      <c r="F7" t="s">
        <v>31</v>
      </c>
      <c r="G7">
        <v>0.74139999999999995</v>
      </c>
      <c r="H7" t="s">
        <v>339</v>
      </c>
      <c r="I7">
        <v>0.74229999999999996</v>
      </c>
      <c r="J7">
        <v>163</v>
      </c>
      <c r="K7">
        <v>0.74229999999999996</v>
      </c>
      <c r="L7">
        <v>4.4000000000000003E-3</v>
      </c>
      <c r="M7">
        <v>0.36840000000000001</v>
      </c>
    </row>
    <row r="8" spans="1:13">
      <c r="A8" t="s">
        <v>372</v>
      </c>
      <c r="B8" t="s">
        <v>368</v>
      </c>
      <c r="C8" t="s">
        <v>663</v>
      </c>
      <c r="D8" t="s">
        <v>26</v>
      </c>
      <c r="E8" t="s">
        <v>835</v>
      </c>
      <c r="F8" t="s">
        <v>31</v>
      </c>
      <c r="G8">
        <v>0.74139999999999995</v>
      </c>
      <c r="H8" t="s">
        <v>26</v>
      </c>
      <c r="I8">
        <v>0.74229999999999996</v>
      </c>
      <c r="J8">
        <v>162</v>
      </c>
      <c r="K8">
        <v>0.74229999999999996</v>
      </c>
      <c r="L8">
        <v>4.4000000000000003E-3</v>
      </c>
      <c r="M8">
        <v>0.36830000000000002</v>
      </c>
    </row>
    <row r="9" spans="1:13">
      <c r="A9" t="s">
        <v>375</v>
      </c>
      <c r="B9" t="s">
        <v>372</v>
      </c>
      <c r="C9" t="s">
        <v>664</v>
      </c>
      <c r="D9" t="s">
        <v>93</v>
      </c>
      <c r="E9" t="s">
        <v>835</v>
      </c>
      <c r="F9" t="s">
        <v>31</v>
      </c>
      <c r="G9">
        <v>0.74139999999999995</v>
      </c>
      <c r="H9" t="s">
        <v>93</v>
      </c>
      <c r="I9">
        <v>0.74229999999999996</v>
      </c>
      <c r="J9">
        <v>161</v>
      </c>
      <c r="K9">
        <v>0.74229999999999996</v>
      </c>
      <c r="L9">
        <v>4.4000000000000003E-3</v>
      </c>
      <c r="M9">
        <v>0.36820000000000003</v>
      </c>
    </row>
    <row r="10" spans="1:13">
      <c r="A10" t="s">
        <v>378</v>
      </c>
      <c r="B10" t="s">
        <v>375</v>
      </c>
      <c r="C10" t="s">
        <v>665</v>
      </c>
      <c r="D10" t="s">
        <v>98</v>
      </c>
      <c r="E10" t="s">
        <v>835</v>
      </c>
      <c r="F10" t="s">
        <v>31</v>
      </c>
      <c r="G10">
        <v>0.74139999999999995</v>
      </c>
      <c r="H10" t="s">
        <v>98</v>
      </c>
      <c r="I10">
        <v>0.74229999999999996</v>
      </c>
      <c r="J10">
        <v>160</v>
      </c>
      <c r="K10">
        <v>0.74229999999999996</v>
      </c>
      <c r="L10">
        <v>4.4000000000000003E-3</v>
      </c>
      <c r="M10">
        <v>0.36809999999999998</v>
      </c>
    </row>
    <row r="11" spans="1:13">
      <c r="A11" t="s">
        <v>381</v>
      </c>
      <c r="B11" t="s">
        <v>378</v>
      </c>
      <c r="C11" t="s">
        <v>666</v>
      </c>
      <c r="D11" t="s">
        <v>199</v>
      </c>
      <c r="E11" t="s">
        <v>835</v>
      </c>
      <c r="F11" t="s">
        <v>31</v>
      </c>
      <c r="G11">
        <v>0.74139999999999995</v>
      </c>
      <c r="H11" t="s">
        <v>199</v>
      </c>
      <c r="I11">
        <v>0.74229999999999996</v>
      </c>
      <c r="J11">
        <v>159</v>
      </c>
      <c r="K11">
        <v>0.74229999999999996</v>
      </c>
      <c r="L11">
        <v>4.4000000000000003E-3</v>
      </c>
      <c r="M11">
        <v>0.36830000000000002</v>
      </c>
    </row>
    <row r="12" spans="1:13">
      <c r="A12" t="s">
        <v>384</v>
      </c>
      <c r="B12" t="s">
        <v>381</v>
      </c>
      <c r="C12" t="s">
        <v>667</v>
      </c>
      <c r="D12" t="s">
        <v>204</v>
      </c>
      <c r="E12" t="s">
        <v>835</v>
      </c>
      <c r="F12" t="s">
        <v>31</v>
      </c>
      <c r="G12">
        <v>0.74139999999999995</v>
      </c>
      <c r="H12" t="s">
        <v>204</v>
      </c>
      <c r="I12">
        <v>0.74229999999999996</v>
      </c>
      <c r="J12">
        <v>158</v>
      </c>
      <c r="K12">
        <v>0.74229999999999996</v>
      </c>
      <c r="L12">
        <v>4.4000000000000003E-3</v>
      </c>
      <c r="M12">
        <v>0.36730000000000002</v>
      </c>
    </row>
    <row r="13" spans="1:13">
      <c r="A13" t="s">
        <v>387</v>
      </c>
      <c r="B13" t="s">
        <v>384</v>
      </c>
      <c r="C13" t="s">
        <v>668</v>
      </c>
      <c r="D13" t="s">
        <v>205</v>
      </c>
      <c r="E13" t="s">
        <v>835</v>
      </c>
      <c r="F13" t="s">
        <v>31</v>
      </c>
      <c r="G13">
        <v>0.74139999999999995</v>
      </c>
      <c r="H13" t="s">
        <v>205</v>
      </c>
      <c r="I13">
        <v>0.74229999999999996</v>
      </c>
      <c r="J13">
        <v>157</v>
      </c>
      <c r="K13">
        <v>0.74229999999999996</v>
      </c>
      <c r="L13">
        <v>4.4000000000000003E-3</v>
      </c>
      <c r="M13">
        <v>0.36820000000000003</v>
      </c>
    </row>
    <row r="14" spans="1:13">
      <c r="A14" t="s">
        <v>388</v>
      </c>
      <c r="B14" t="s">
        <v>387</v>
      </c>
      <c r="C14" t="s">
        <v>669</v>
      </c>
      <c r="D14" t="s">
        <v>124</v>
      </c>
      <c r="E14" t="s">
        <v>835</v>
      </c>
      <c r="F14" t="s">
        <v>31</v>
      </c>
      <c r="G14">
        <v>0.74139999999999995</v>
      </c>
      <c r="H14" t="s">
        <v>124</v>
      </c>
      <c r="I14">
        <v>0.74229999999999996</v>
      </c>
      <c r="J14">
        <v>156</v>
      </c>
      <c r="K14">
        <v>0.74229999999999996</v>
      </c>
      <c r="L14">
        <v>4.4000000000000003E-3</v>
      </c>
      <c r="M14">
        <v>0.36830000000000002</v>
      </c>
    </row>
    <row r="15" spans="1:13">
      <c r="A15" t="s">
        <v>391</v>
      </c>
      <c r="B15" t="s">
        <v>388</v>
      </c>
      <c r="C15" t="s">
        <v>686</v>
      </c>
      <c r="D15" t="s">
        <v>197</v>
      </c>
      <c r="E15" t="s">
        <v>835</v>
      </c>
      <c r="F15" t="s">
        <v>31</v>
      </c>
      <c r="G15">
        <v>0.74139999999999995</v>
      </c>
      <c r="H15" t="s">
        <v>197</v>
      </c>
      <c r="I15">
        <v>0.74229999999999996</v>
      </c>
      <c r="J15">
        <v>155</v>
      </c>
      <c r="K15">
        <v>0.74229999999999996</v>
      </c>
      <c r="L15">
        <v>4.4000000000000003E-3</v>
      </c>
      <c r="M15">
        <v>0.37009999999999998</v>
      </c>
    </row>
    <row r="16" spans="1:13">
      <c r="A16" t="s">
        <v>392</v>
      </c>
      <c r="B16" t="s">
        <v>391</v>
      </c>
      <c r="C16" t="s">
        <v>670</v>
      </c>
      <c r="D16" t="s">
        <v>195</v>
      </c>
      <c r="E16" t="s">
        <v>835</v>
      </c>
      <c r="F16" t="s">
        <v>31</v>
      </c>
      <c r="G16">
        <v>0.74139999999999995</v>
      </c>
      <c r="H16" t="s">
        <v>195</v>
      </c>
      <c r="I16">
        <v>0.74199999999999999</v>
      </c>
      <c r="J16">
        <v>154</v>
      </c>
      <c r="K16">
        <v>0.74199999999999999</v>
      </c>
      <c r="L16">
        <v>4.7000000000000002E-3</v>
      </c>
      <c r="M16">
        <v>0.37019999999999997</v>
      </c>
    </row>
    <row r="17" spans="1:13">
      <c r="A17" t="s">
        <v>393</v>
      </c>
      <c r="B17" t="s">
        <v>392</v>
      </c>
      <c r="C17" t="s">
        <v>836</v>
      </c>
      <c r="D17" t="s">
        <v>31</v>
      </c>
      <c r="E17" t="s">
        <v>837</v>
      </c>
      <c r="F17" t="s">
        <v>31</v>
      </c>
      <c r="G17">
        <v>0.74139999999999995</v>
      </c>
      <c r="H17" t="s">
        <v>12</v>
      </c>
      <c r="I17">
        <v>0.7409</v>
      </c>
      <c r="J17">
        <v>153</v>
      </c>
      <c r="K17">
        <v>0.74139999999999995</v>
      </c>
      <c r="L17">
        <v>2.3E-3</v>
      </c>
      <c r="M17">
        <v>0.37140000000000001</v>
      </c>
    </row>
    <row r="18" spans="1:13">
      <c r="A18" t="s">
        <v>394</v>
      </c>
      <c r="B18" t="s">
        <v>393</v>
      </c>
      <c r="C18" t="s">
        <v>676</v>
      </c>
      <c r="D18" t="s">
        <v>123</v>
      </c>
      <c r="E18" t="s">
        <v>835</v>
      </c>
      <c r="F18" t="s">
        <v>28</v>
      </c>
      <c r="G18">
        <v>0.73450000000000004</v>
      </c>
      <c r="H18" t="s">
        <v>123</v>
      </c>
      <c r="I18">
        <v>0.74139999999999995</v>
      </c>
      <c r="J18">
        <v>152</v>
      </c>
      <c r="K18">
        <v>0.74139999999999995</v>
      </c>
      <c r="L18">
        <v>2.3E-3</v>
      </c>
      <c r="M18">
        <v>0.37119999999999997</v>
      </c>
    </row>
    <row r="19" spans="1:13">
      <c r="A19" t="s">
        <v>395</v>
      </c>
      <c r="B19" t="s">
        <v>394</v>
      </c>
      <c r="C19" t="s">
        <v>671</v>
      </c>
      <c r="D19" t="s">
        <v>50</v>
      </c>
      <c r="E19" t="s">
        <v>835</v>
      </c>
      <c r="F19" t="s">
        <v>28</v>
      </c>
      <c r="G19">
        <v>0.73450000000000004</v>
      </c>
      <c r="H19" t="s">
        <v>50</v>
      </c>
      <c r="I19">
        <v>0.74139999999999995</v>
      </c>
      <c r="J19">
        <v>151</v>
      </c>
      <c r="K19">
        <v>0.74139999999999995</v>
      </c>
      <c r="L19">
        <v>2.3E-3</v>
      </c>
      <c r="M19">
        <v>0.37140000000000001</v>
      </c>
    </row>
    <row r="20" spans="1:13">
      <c r="A20" t="s">
        <v>396</v>
      </c>
      <c r="B20" t="s">
        <v>395</v>
      </c>
      <c r="C20" t="s">
        <v>672</v>
      </c>
      <c r="D20" t="s">
        <v>181</v>
      </c>
      <c r="E20" t="s">
        <v>835</v>
      </c>
      <c r="F20" t="s">
        <v>28</v>
      </c>
      <c r="G20">
        <v>0.73380000000000001</v>
      </c>
      <c r="H20" t="s">
        <v>181</v>
      </c>
      <c r="I20">
        <v>0.74139999999999995</v>
      </c>
      <c r="J20">
        <v>150</v>
      </c>
      <c r="K20">
        <v>0.74139999999999995</v>
      </c>
      <c r="L20">
        <v>2.3E-3</v>
      </c>
      <c r="M20">
        <v>0.36980000000000002</v>
      </c>
    </row>
    <row r="21" spans="1:13">
      <c r="A21" t="s">
        <v>397</v>
      </c>
      <c r="B21" t="s">
        <v>396</v>
      </c>
      <c r="C21" t="s">
        <v>673</v>
      </c>
      <c r="D21" t="s">
        <v>194</v>
      </c>
      <c r="E21" t="s">
        <v>835</v>
      </c>
      <c r="F21" t="s">
        <v>28</v>
      </c>
      <c r="G21">
        <v>0.7339</v>
      </c>
      <c r="H21" t="s">
        <v>194</v>
      </c>
      <c r="I21">
        <v>0.74139999999999995</v>
      </c>
      <c r="J21">
        <v>149</v>
      </c>
      <c r="K21">
        <v>0.74139999999999995</v>
      </c>
      <c r="L21">
        <v>2.3E-3</v>
      </c>
      <c r="M21">
        <v>0.36990000000000001</v>
      </c>
    </row>
    <row r="22" spans="1:13">
      <c r="A22" t="s">
        <v>398</v>
      </c>
      <c r="B22" t="s">
        <v>397</v>
      </c>
      <c r="C22" t="s">
        <v>674</v>
      </c>
      <c r="D22" t="s">
        <v>66</v>
      </c>
      <c r="E22" t="s">
        <v>835</v>
      </c>
      <c r="F22" t="s">
        <v>28</v>
      </c>
      <c r="G22">
        <v>0.73450000000000004</v>
      </c>
      <c r="H22" t="s">
        <v>66</v>
      </c>
      <c r="I22">
        <v>0.74139999999999995</v>
      </c>
      <c r="J22">
        <v>148</v>
      </c>
      <c r="K22">
        <v>0.74139999999999995</v>
      </c>
      <c r="L22">
        <v>2.3E-3</v>
      </c>
      <c r="M22">
        <v>0.36969999999999997</v>
      </c>
    </row>
    <row r="23" spans="1:13">
      <c r="A23" t="s">
        <v>408</v>
      </c>
      <c r="B23" t="s">
        <v>398</v>
      </c>
      <c r="C23" t="s">
        <v>675</v>
      </c>
      <c r="D23" t="s">
        <v>96</v>
      </c>
      <c r="E23" t="s">
        <v>835</v>
      </c>
      <c r="F23" t="s">
        <v>28</v>
      </c>
      <c r="G23">
        <v>0.73450000000000004</v>
      </c>
      <c r="H23" t="s">
        <v>96</v>
      </c>
      <c r="I23">
        <v>0.74139999999999995</v>
      </c>
      <c r="J23">
        <v>147</v>
      </c>
      <c r="K23">
        <v>0.74139999999999995</v>
      </c>
      <c r="L23">
        <v>2.3E-3</v>
      </c>
      <c r="M23">
        <v>0.36980000000000002</v>
      </c>
    </row>
    <row r="24" spans="1:13">
      <c r="A24" t="s">
        <v>409</v>
      </c>
      <c r="B24" t="s">
        <v>408</v>
      </c>
      <c r="C24" t="s">
        <v>677</v>
      </c>
      <c r="D24" t="s">
        <v>97</v>
      </c>
      <c r="E24" t="s">
        <v>835</v>
      </c>
      <c r="F24" t="s">
        <v>28</v>
      </c>
      <c r="G24">
        <v>0.73450000000000004</v>
      </c>
      <c r="H24" t="s">
        <v>97</v>
      </c>
      <c r="I24">
        <v>0.74139999999999995</v>
      </c>
      <c r="J24">
        <v>146</v>
      </c>
      <c r="K24">
        <v>0.74139999999999995</v>
      </c>
      <c r="L24">
        <v>2.3E-3</v>
      </c>
      <c r="M24">
        <v>0.36969999999999997</v>
      </c>
    </row>
    <row r="25" spans="1:13">
      <c r="A25" t="s">
        <v>410</v>
      </c>
      <c r="B25" t="s">
        <v>409</v>
      </c>
      <c r="C25" t="s">
        <v>678</v>
      </c>
      <c r="D25" t="s">
        <v>95</v>
      </c>
      <c r="E25" t="s">
        <v>835</v>
      </c>
      <c r="F25" t="s">
        <v>28</v>
      </c>
      <c r="G25">
        <v>0.73509999999999998</v>
      </c>
      <c r="H25" t="s">
        <v>95</v>
      </c>
      <c r="I25">
        <v>0.74139999999999995</v>
      </c>
      <c r="J25">
        <v>145</v>
      </c>
      <c r="K25">
        <v>0.74139999999999995</v>
      </c>
      <c r="L25">
        <v>2.3E-3</v>
      </c>
      <c r="M25">
        <v>0.36890000000000001</v>
      </c>
    </row>
    <row r="26" spans="1:13">
      <c r="A26" t="s">
        <v>411</v>
      </c>
      <c r="B26" t="s">
        <v>410</v>
      </c>
      <c r="C26" t="s">
        <v>679</v>
      </c>
      <c r="D26" t="s">
        <v>119</v>
      </c>
      <c r="E26" t="s">
        <v>835</v>
      </c>
      <c r="F26" t="s">
        <v>28</v>
      </c>
      <c r="G26">
        <v>0.73470000000000002</v>
      </c>
      <c r="H26" t="s">
        <v>119</v>
      </c>
      <c r="I26">
        <v>0.74170000000000003</v>
      </c>
      <c r="J26">
        <v>144</v>
      </c>
      <c r="K26">
        <v>0.74170000000000003</v>
      </c>
      <c r="L26">
        <v>2E-3</v>
      </c>
      <c r="M26">
        <v>0.37040000000000001</v>
      </c>
    </row>
    <row r="27" spans="1:13">
      <c r="A27" t="s">
        <v>412</v>
      </c>
      <c r="B27" t="s">
        <v>411</v>
      </c>
      <c r="C27" t="s">
        <v>682</v>
      </c>
      <c r="D27" t="s">
        <v>332</v>
      </c>
      <c r="E27" t="s">
        <v>835</v>
      </c>
      <c r="F27" t="s">
        <v>28</v>
      </c>
      <c r="G27">
        <v>0.73470000000000002</v>
      </c>
      <c r="H27" t="s">
        <v>332</v>
      </c>
      <c r="I27">
        <v>0.74170000000000003</v>
      </c>
      <c r="J27">
        <v>143</v>
      </c>
      <c r="K27">
        <v>0.74170000000000003</v>
      </c>
      <c r="L27">
        <v>2E-3</v>
      </c>
      <c r="M27">
        <v>0.3705</v>
      </c>
    </row>
    <row r="28" spans="1:13">
      <c r="A28" t="s">
        <v>413</v>
      </c>
      <c r="B28" t="s">
        <v>412</v>
      </c>
      <c r="C28" t="s">
        <v>685</v>
      </c>
      <c r="D28" t="s">
        <v>58</v>
      </c>
      <c r="E28" t="s">
        <v>835</v>
      </c>
      <c r="F28" t="s">
        <v>28</v>
      </c>
      <c r="G28">
        <v>0.73450000000000004</v>
      </c>
      <c r="H28" t="s">
        <v>58</v>
      </c>
      <c r="I28">
        <v>0.74199999999999999</v>
      </c>
      <c r="J28">
        <v>142</v>
      </c>
      <c r="K28">
        <v>0.74199999999999999</v>
      </c>
      <c r="L28">
        <v>2.3E-3</v>
      </c>
      <c r="M28">
        <v>0.37040000000000001</v>
      </c>
    </row>
    <row r="29" spans="1:13">
      <c r="A29" t="s">
        <v>414</v>
      </c>
      <c r="B29" t="s">
        <v>413</v>
      </c>
      <c r="C29" t="s">
        <v>683</v>
      </c>
      <c r="D29" t="s">
        <v>202</v>
      </c>
      <c r="E29" t="s">
        <v>835</v>
      </c>
      <c r="F29" t="s">
        <v>28</v>
      </c>
      <c r="G29">
        <v>0.73370000000000002</v>
      </c>
      <c r="H29" t="s">
        <v>202</v>
      </c>
      <c r="I29">
        <v>0.74099999999999999</v>
      </c>
      <c r="J29">
        <v>141</v>
      </c>
      <c r="K29">
        <v>0.74099999999999999</v>
      </c>
      <c r="L29">
        <v>3.0000000000000001E-3</v>
      </c>
      <c r="M29">
        <v>0.37040000000000001</v>
      </c>
    </row>
    <row r="30" spans="1:13">
      <c r="A30" t="s">
        <v>415</v>
      </c>
      <c r="B30" t="s">
        <v>414</v>
      </c>
      <c r="C30" t="s">
        <v>680</v>
      </c>
      <c r="D30" t="s">
        <v>60</v>
      </c>
      <c r="E30" t="s">
        <v>835</v>
      </c>
      <c r="F30" t="s">
        <v>28</v>
      </c>
      <c r="G30">
        <v>0.73470000000000002</v>
      </c>
      <c r="H30" t="s">
        <v>60</v>
      </c>
      <c r="I30">
        <v>0.7409</v>
      </c>
      <c r="J30">
        <v>140</v>
      </c>
      <c r="K30">
        <v>0.7409</v>
      </c>
      <c r="L30">
        <v>2.8E-3</v>
      </c>
      <c r="M30">
        <v>0.36959999999999998</v>
      </c>
    </row>
    <row r="31" spans="1:13">
      <c r="A31" t="s">
        <v>416</v>
      </c>
      <c r="B31" t="s">
        <v>415</v>
      </c>
      <c r="C31" t="s">
        <v>687</v>
      </c>
      <c r="D31" t="s">
        <v>49</v>
      </c>
      <c r="E31" t="s">
        <v>835</v>
      </c>
      <c r="F31" t="s">
        <v>28</v>
      </c>
      <c r="G31">
        <v>0.73419999999999996</v>
      </c>
      <c r="H31" t="s">
        <v>49</v>
      </c>
      <c r="I31">
        <v>0.74199999999999999</v>
      </c>
      <c r="J31">
        <v>139</v>
      </c>
      <c r="K31">
        <v>0.74199999999999999</v>
      </c>
      <c r="L31">
        <v>4.4000000000000003E-3</v>
      </c>
      <c r="M31">
        <v>0.37180000000000002</v>
      </c>
    </row>
    <row r="32" spans="1:13">
      <c r="A32" t="s">
        <v>417</v>
      </c>
      <c r="B32" t="s">
        <v>416</v>
      </c>
      <c r="C32" t="s">
        <v>681</v>
      </c>
      <c r="D32" t="s">
        <v>94</v>
      </c>
      <c r="E32" t="s">
        <v>835</v>
      </c>
      <c r="F32" t="s">
        <v>28</v>
      </c>
      <c r="G32">
        <v>0.73419999999999996</v>
      </c>
      <c r="H32" t="s">
        <v>94</v>
      </c>
      <c r="I32">
        <v>0.7419</v>
      </c>
      <c r="J32">
        <v>138</v>
      </c>
      <c r="K32">
        <v>0.74180000000000001</v>
      </c>
      <c r="L32">
        <v>4.4999999999999997E-3</v>
      </c>
      <c r="M32">
        <v>0.37169999999999997</v>
      </c>
    </row>
    <row r="33" spans="1:13">
      <c r="A33" t="s">
        <v>418</v>
      </c>
      <c r="B33" t="s">
        <v>417</v>
      </c>
      <c r="C33" t="s">
        <v>691</v>
      </c>
      <c r="D33" t="s">
        <v>12</v>
      </c>
      <c r="E33" t="s">
        <v>835</v>
      </c>
      <c r="F33" t="s">
        <v>28</v>
      </c>
      <c r="G33">
        <v>0.73399999999999999</v>
      </c>
      <c r="H33" t="s">
        <v>12</v>
      </c>
      <c r="I33">
        <v>0.74180000000000001</v>
      </c>
      <c r="J33">
        <v>137</v>
      </c>
      <c r="K33">
        <v>0.74180000000000001</v>
      </c>
      <c r="L33">
        <v>4.4999999999999997E-3</v>
      </c>
      <c r="M33">
        <v>0.37009999999999998</v>
      </c>
    </row>
    <row r="34" spans="1:13">
      <c r="A34" t="s">
        <v>419</v>
      </c>
      <c r="B34" t="s">
        <v>418</v>
      </c>
      <c r="C34" t="s">
        <v>694</v>
      </c>
      <c r="D34" t="s">
        <v>151</v>
      </c>
      <c r="E34" t="s">
        <v>835</v>
      </c>
      <c r="F34" t="s">
        <v>28</v>
      </c>
      <c r="G34">
        <v>0.73380000000000001</v>
      </c>
      <c r="H34" t="s">
        <v>151</v>
      </c>
      <c r="I34">
        <v>0.74180000000000001</v>
      </c>
      <c r="J34">
        <v>136</v>
      </c>
      <c r="K34">
        <v>0.74180000000000001</v>
      </c>
      <c r="L34">
        <v>4.4999999999999997E-3</v>
      </c>
      <c r="M34">
        <v>0.37</v>
      </c>
    </row>
    <row r="35" spans="1:13">
      <c r="A35" t="s">
        <v>420</v>
      </c>
      <c r="B35" t="s">
        <v>419</v>
      </c>
      <c r="C35" t="s">
        <v>684</v>
      </c>
      <c r="D35" t="s">
        <v>47</v>
      </c>
      <c r="E35" t="s">
        <v>835</v>
      </c>
      <c r="F35" t="s">
        <v>28</v>
      </c>
      <c r="G35">
        <v>0.73380000000000001</v>
      </c>
      <c r="H35" t="s">
        <v>47</v>
      </c>
      <c r="I35">
        <v>0.74160000000000004</v>
      </c>
      <c r="J35">
        <v>135</v>
      </c>
      <c r="K35">
        <v>0.74160000000000004</v>
      </c>
      <c r="L35">
        <v>3.2000000000000002E-3</v>
      </c>
      <c r="M35">
        <v>0.36880000000000002</v>
      </c>
    </row>
    <row r="36" spans="1:13">
      <c r="A36" t="s">
        <v>421</v>
      </c>
      <c r="B36" t="s">
        <v>420</v>
      </c>
      <c r="C36" t="s">
        <v>688</v>
      </c>
      <c r="D36" t="s">
        <v>150</v>
      </c>
      <c r="E36" t="s">
        <v>835</v>
      </c>
      <c r="F36" t="s">
        <v>28</v>
      </c>
      <c r="G36">
        <v>0.7349</v>
      </c>
      <c r="H36" t="s">
        <v>150</v>
      </c>
      <c r="I36">
        <v>0.74109999999999998</v>
      </c>
      <c r="J36">
        <v>134</v>
      </c>
      <c r="K36">
        <v>0.74109999999999998</v>
      </c>
      <c r="L36">
        <v>3.8E-3</v>
      </c>
      <c r="M36">
        <v>0.371</v>
      </c>
    </row>
    <row r="37" spans="1:13">
      <c r="A37" t="s">
        <v>422</v>
      </c>
      <c r="B37" t="s">
        <v>421</v>
      </c>
      <c r="C37" t="s">
        <v>693</v>
      </c>
      <c r="D37" t="s">
        <v>57</v>
      </c>
      <c r="E37" t="s">
        <v>835</v>
      </c>
      <c r="F37" t="s">
        <v>28</v>
      </c>
      <c r="G37">
        <v>0.73529999999999995</v>
      </c>
      <c r="H37" t="s">
        <v>57</v>
      </c>
      <c r="I37">
        <v>0.74180000000000001</v>
      </c>
      <c r="J37">
        <v>133</v>
      </c>
      <c r="K37">
        <v>0.74180000000000001</v>
      </c>
      <c r="L37">
        <v>3.5000000000000001E-3</v>
      </c>
      <c r="M37">
        <v>0.36820000000000003</v>
      </c>
    </row>
    <row r="38" spans="1:13">
      <c r="A38" t="s">
        <v>445</v>
      </c>
      <c r="B38" t="s">
        <v>422</v>
      </c>
      <c r="C38" t="s">
        <v>701</v>
      </c>
      <c r="D38" t="s">
        <v>45</v>
      </c>
      <c r="E38" t="s">
        <v>835</v>
      </c>
      <c r="F38" t="s">
        <v>28</v>
      </c>
      <c r="G38">
        <v>0.73550000000000004</v>
      </c>
      <c r="H38" t="s">
        <v>45</v>
      </c>
      <c r="I38">
        <v>0.74209999999999998</v>
      </c>
      <c r="J38">
        <v>132</v>
      </c>
      <c r="K38">
        <v>0.74209999999999998</v>
      </c>
      <c r="L38">
        <v>5.0000000000000001E-3</v>
      </c>
      <c r="M38">
        <v>0.36840000000000001</v>
      </c>
    </row>
    <row r="39" spans="1:13">
      <c r="A39" t="s">
        <v>448</v>
      </c>
      <c r="B39" t="s">
        <v>445</v>
      </c>
      <c r="C39" t="s">
        <v>692</v>
      </c>
      <c r="D39" t="s">
        <v>180</v>
      </c>
      <c r="E39" t="s">
        <v>835</v>
      </c>
      <c r="F39" t="s">
        <v>28</v>
      </c>
      <c r="G39">
        <v>0.73399999999999999</v>
      </c>
      <c r="H39" t="s">
        <v>180</v>
      </c>
      <c r="I39">
        <v>0.74009999999999998</v>
      </c>
      <c r="J39">
        <v>131</v>
      </c>
      <c r="K39">
        <v>0.74009999999999998</v>
      </c>
      <c r="L39">
        <v>4.5999999999999999E-3</v>
      </c>
      <c r="M39">
        <v>0.36780000000000002</v>
      </c>
    </row>
    <row r="40" spans="1:13">
      <c r="A40" t="s">
        <v>449</v>
      </c>
      <c r="B40" t="s">
        <v>448</v>
      </c>
      <c r="C40" t="s">
        <v>695</v>
      </c>
      <c r="D40" t="s">
        <v>117</v>
      </c>
      <c r="E40" t="s">
        <v>835</v>
      </c>
      <c r="F40" t="s">
        <v>28</v>
      </c>
      <c r="G40">
        <v>0.73399999999999999</v>
      </c>
      <c r="H40" t="s">
        <v>117</v>
      </c>
      <c r="I40">
        <v>0.74080000000000001</v>
      </c>
      <c r="J40">
        <v>130</v>
      </c>
      <c r="K40">
        <v>0.74080000000000001</v>
      </c>
      <c r="L40">
        <v>4.1000000000000003E-3</v>
      </c>
      <c r="M40">
        <v>0.36959999999999998</v>
      </c>
    </row>
    <row r="41" spans="1:13">
      <c r="A41" t="s">
        <v>450</v>
      </c>
      <c r="B41" t="s">
        <v>449</v>
      </c>
      <c r="C41" t="s">
        <v>696</v>
      </c>
      <c r="D41" t="s">
        <v>166</v>
      </c>
      <c r="E41" t="s">
        <v>835</v>
      </c>
      <c r="F41" t="s">
        <v>28</v>
      </c>
      <c r="G41">
        <v>0.73419999999999996</v>
      </c>
      <c r="H41" t="s">
        <v>166</v>
      </c>
      <c r="I41">
        <v>0.74229999999999996</v>
      </c>
      <c r="J41">
        <v>129</v>
      </c>
      <c r="K41">
        <v>0.74229999999999996</v>
      </c>
      <c r="L41">
        <v>4.7000000000000002E-3</v>
      </c>
      <c r="M41">
        <v>0.36990000000000001</v>
      </c>
    </row>
    <row r="42" spans="1:13">
      <c r="A42" t="s">
        <v>451</v>
      </c>
      <c r="B42" t="s">
        <v>450</v>
      </c>
      <c r="C42" t="s">
        <v>690</v>
      </c>
      <c r="D42" t="s">
        <v>44</v>
      </c>
      <c r="E42" t="s">
        <v>835</v>
      </c>
      <c r="F42" t="s">
        <v>28</v>
      </c>
      <c r="G42">
        <v>0.73440000000000005</v>
      </c>
      <c r="H42" t="s">
        <v>44</v>
      </c>
      <c r="I42">
        <v>0.74309999999999998</v>
      </c>
      <c r="J42">
        <v>128</v>
      </c>
      <c r="K42">
        <v>0.74309999999999998</v>
      </c>
      <c r="L42">
        <v>3.8E-3</v>
      </c>
      <c r="M42">
        <v>0.37</v>
      </c>
    </row>
    <row r="43" spans="1:13">
      <c r="A43" t="s">
        <v>452</v>
      </c>
      <c r="B43" t="s">
        <v>451</v>
      </c>
      <c r="C43" t="s">
        <v>699</v>
      </c>
      <c r="D43" t="s">
        <v>192</v>
      </c>
      <c r="E43" t="s">
        <v>835</v>
      </c>
      <c r="F43" t="s">
        <v>28</v>
      </c>
      <c r="G43">
        <v>0.73319999999999996</v>
      </c>
      <c r="H43" t="s">
        <v>192</v>
      </c>
      <c r="I43">
        <v>0.74229999999999996</v>
      </c>
      <c r="J43">
        <v>127</v>
      </c>
      <c r="K43">
        <v>0.74229999999999996</v>
      </c>
      <c r="L43">
        <v>4.8999999999999998E-3</v>
      </c>
      <c r="M43">
        <v>0.36820000000000003</v>
      </c>
    </row>
    <row r="44" spans="1:13">
      <c r="A44" t="s">
        <v>453</v>
      </c>
      <c r="B44" t="s">
        <v>452</v>
      </c>
      <c r="C44" t="s">
        <v>697</v>
      </c>
      <c r="D44" t="s">
        <v>121</v>
      </c>
      <c r="E44" t="s">
        <v>835</v>
      </c>
      <c r="F44" t="s">
        <v>28</v>
      </c>
      <c r="G44">
        <v>0.73570000000000002</v>
      </c>
      <c r="H44" t="s">
        <v>121</v>
      </c>
      <c r="I44">
        <v>0.74309999999999998</v>
      </c>
      <c r="J44">
        <v>126</v>
      </c>
      <c r="K44">
        <v>0.74309999999999998</v>
      </c>
      <c r="L44">
        <v>1.6000000000000001E-3</v>
      </c>
      <c r="M44">
        <v>0.36890000000000001</v>
      </c>
    </row>
    <row r="45" spans="1:13">
      <c r="A45" t="s">
        <v>454</v>
      </c>
      <c r="B45" t="s">
        <v>453</v>
      </c>
      <c r="C45" t="s">
        <v>698</v>
      </c>
      <c r="D45" t="s">
        <v>56</v>
      </c>
      <c r="E45" t="s">
        <v>835</v>
      </c>
      <c r="F45" t="s">
        <v>28</v>
      </c>
      <c r="G45">
        <v>0.73399999999999999</v>
      </c>
      <c r="H45" t="s">
        <v>56</v>
      </c>
      <c r="I45">
        <v>0.73950000000000005</v>
      </c>
      <c r="J45">
        <v>125</v>
      </c>
      <c r="K45">
        <v>0.73950000000000005</v>
      </c>
      <c r="L45">
        <v>6.1000000000000004E-3</v>
      </c>
      <c r="M45">
        <v>0.36709999999999998</v>
      </c>
    </row>
    <row r="46" spans="1:13">
      <c r="A46" t="s">
        <v>455</v>
      </c>
      <c r="B46" t="s">
        <v>454</v>
      </c>
      <c r="C46" t="s">
        <v>702</v>
      </c>
      <c r="D46" t="s">
        <v>186</v>
      </c>
      <c r="E46" t="s">
        <v>835</v>
      </c>
      <c r="F46" t="s">
        <v>28</v>
      </c>
      <c r="G46">
        <v>0.73419999999999996</v>
      </c>
      <c r="H46" t="s">
        <v>186</v>
      </c>
      <c r="I46">
        <v>0.74150000000000005</v>
      </c>
      <c r="J46">
        <v>124</v>
      </c>
      <c r="K46">
        <v>0.74150000000000005</v>
      </c>
      <c r="L46">
        <v>3.8E-3</v>
      </c>
      <c r="M46">
        <v>0.36969999999999997</v>
      </c>
    </row>
    <row r="47" spans="1:13">
      <c r="A47" t="s">
        <v>456</v>
      </c>
      <c r="B47" t="s">
        <v>455</v>
      </c>
      <c r="C47" t="s">
        <v>703</v>
      </c>
      <c r="D47" t="s">
        <v>90</v>
      </c>
      <c r="E47" t="s">
        <v>835</v>
      </c>
      <c r="F47" t="s">
        <v>28</v>
      </c>
      <c r="G47">
        <v>0.73309999999999997</v>
      </c>
      <c r="H47" t="s">
        <v>90</v>
      </c>
      <c r="I47">
        <v>0.74219999999999997</v>
      </c>
      <c r="J47">
        <v>123</v>
      </c>
      <c r="K47">
        <v>0.74219999999999997</v>
      </c>
      <c r="L47">
        <v>5.1999999999999998E-3</v>
      </c>
      <c r="M47">
        <v>0.36940000000000001</v>
      </c>
    </row>
    <row r="48" spans="1:13">
      <c r="A48" t="s">
        <v>457</v>
      </c>
      <c r="B48" t="s">
        <v>456</v>
      </c>
      <c r="C48" t="s">
        <v>700</v>
      </c>
      <c r="D48" t="s">
        <v>113</v>
      </c>
      <c r="E48" t="s">
        <v>835</v>
      </c>
      <c r="F48" t="s">
        <v>28</v>
      </c>
      <c r="G48">
        <v>0.73470000000000002</v>
      </c>
      <c r="H48" t="s">
        <v>113</v>
      </c>
      <c r="I48">
        <v>0.74109999999999998</v>
      </c>
      <c r="J48">
        <v>122</v>
      </c>
      <c r="K48">
        <v>0.74109999999999998</v>
      </c>
      <c r="L48">
        <v>6.1000000000000004E-3</v>
      </c>
      <c r="M48">
        <v>0.37069999999999997</v>
      </c>
    </row>
    <row r="49" spans="1:13">
      <c r="A49" t="s">
        <v>458</v>
      </c>
      <c r="B49" t="s">
        <v>457</v>
      </c>
      <c r="C49" t="s">
        <v>715</v>
      </c>
      <c r="D49" t="s">
        <v>293</v>
      </c>
      <c r="E49" t="s">
        <v>835</v>
      </c>
      <c r="F49" t="s">
        <v>28</v>
      </c>
      <c r="G49">
        <v>0.73509999999999998</v>
      </c>
      <c r="H49" t="s">
        <v>293</v>
      </c>
      <c r="I49">
        <v>0.74180000000000001</v>
      </c>
      <c r="J49">
        <v>121</v>
      </c>
      <c r="K49">
        <v>0.74180000000000001</v>
      </c>
      <c r="L49">
        <v>3.0999999999999999E-3</v>
      </c>
      <c r="M49">
        <v>0.36899999999999999</v>
      </c>
    </row>
    <row r="50" spans="1:13">
      <c r="A50" t="s">
        <v>459</v>
      </c>
      <c r="B50" t="s">
        <v>458</v>
      </c>
      <c r="C50" t="s">
        <v>707</v>
      </c>
      <c r="D50" t="s">
        <v>139</v>
      </c>
      <c r="E50" t="s">
        <v>835</v>
      </c>
      <c r="F50" t="s">
        <v>28</v>
      </c>
      <c r="G50">
        <v>0.73450000000000004</v>
      </c>
      <c r="H50" t="s">
        <v>139</v>
      </c>
      <c r="I50">
        <v>0.74270000000000003</v>
      </c>
      <c r="J50">
        <v>120</v>
      </c>
      <c r="K50">
        <v>0.74270000000000003</v>
      </c>
      <c r="L50">
        <v>4.0000000000000001E-3</v>
      </c>
      <c r="M50">
        <v>0.3705</v>
      </c>
    </row>
    <row r="51" spans="1:13">
      <c r="A51" t="s">
        <v>460</v>
      </c>
      <c r="B51" t="s">
        <v>459</v>
      </c>
      <c r="C51" t="s">
        <v>714</v>
      </c>
      <c r="D51" t="s">
        <v>54</v>
      </c>
      <c r="E51" t="s">
        <v>835</v>
      </c>
      <c r="F51" t="s">
        <v>28</v>
      </c>
      <c r="G51">
        <v>0.73470000000000002</v>
      </c>
      <c r="H51" t="s">
        <v>54</v>
      </c>
      <c r="I51">
        <v>0.74070000000000003</v>
      </c>
      <c r="J51">
        <v>119</v>
      </c>
      <c r="K51">
        <v>0.74070000000000003</v>
      </c>
      <c r="L51">
        <v>3.0000000000000001E-3</v>
      </c>
      <c r="M51">
        <v>0.36870000000000003</v>
      </c>
    </row>
    <row r="52" spans="1:13">
      <c r="A52" t="s">
        <v>461</v>
      </c>
      <c r="B52" t="s">
        <v>460</v>
      </c>
      <c r="C52" t="s">
        <v>705</v>
      </c>
      <c r="D52" t="s">
        <v>189</v>
      </c>
      <c r="E52" t="s">
        <v>835</v>
      </c>
      <c r="F52" t="s">
        <v>28</v>
      </c>
      <c r="G52">
        <v>0.73409999999999997</v>
      </c>
      <c r="H52" t="s">
        <v>189</v>
      </c>
      <c r="I52">
        <v>0.73960000000000004</v>
      </c>
      <c r="J52">
        <v>118</v>
      </c>
      <c r="K52">
        <v>0.73960000000000004</v>
      </c>
      <c r="L52">
        <v>4.4000000000000003E-3</v>
      </c>
      <c r="M52">
        <v>0.36749999999999999</v>
      </c>
    </row>
    <row r="53" spans="1:13">
      <c r="A53" t="s">
        <v>462</v>
      </c>
      <c r="B53" t="s">
        <v>461</v>
      </c>
      <c r="C53" t="s">
        <v>716</v>
      </c>
      <c r="D53" t="s">
        <v>234</v>
      </c>
      <c r="E53" t="s">
        <v>835</v>
      </c>
      <c r="F53" t="s">
        <v>28</v>
      </c>
      <c r="G53">
        <v>0.73670000000000002</v>
      </c>
      <c r="H53" t="s">
        <v>234</v>
      </c>
      <c r="I53">
        <v>0.74250000000000005</v>
      </c>
      <c r="J53">
        <v>117</v>
      </c>
      <c r="K53">
        <v>0.74250000000000005</v>
      </c>
      <c r="L53">
        <v>2.3E-3</v>
      </c>
      <c r="M53">
        <v>0.36780000000000002</v>
      </c>
    </row>
    <row r="54" spans="1:13">
      <c r="A54" t="s">
        <v>463</v>
      </c>
      <c r="B54" t="s">
        <v>462</v>
      </c>
      <c r="C54" t="s">
        <v>711</v>
      </c>
      <c r="D54" t="s">
        <v>263</v>
      </c>
      <c r="E54" t="s">
        <v>835</v>
      </c>
      <c r="F54" t="s">
        <v>28</v>
      </c>
      <c r="G54">
        <v>0.73480000000000001</v>
      </c>
      <c r="H54" t="s">
        <v>263</v>
      </c>
      <c r="I54">
        <v>0.74099999999999999</v>
      </c>
      <c r="J54">
        <v>116</v>
      </c>
      <c r="K54">
        <v>0.74099999999999999</v>
      </c>
      <c r="L54">
        <v>2.3E-3</v>
      </c>
      <c r="M54">
        <v>0.37109999999999999</v>
      </c>
    </row>
    <row r="55" spans="1:13">
      <c r="A55" t="s">
        <v>464</v>
      </c>
      <c r="B55" t="s">
        <v>463</v>
      </c>
      <c r="C55" t="s">
        <v>718</v>
      </c>
      <c r="D55" t="s">
        <v>285</v>
      </c>
      <c r="E55" t="s">
        <v>835</v>
      </c>
      <c r="F55" t="s">
        <v>28</v>
      </c>
      <c r="G55">
        <v>0.73419999999999996</v>
      </c>
      <c r="H55" t="s">
        <v>285</v>
      </c>
      <c r="I55">
        <v>0.74170000000000003</v>
      </c>
      <c r="J55">
        <v>115</v>
      </c>
      <c r="K55">
        <v>0.74170000000000003</v>
      </c>
      <c r="L55">
        <v>3.8E-3</v>
      </c>
      <c r="M55">
        <v>0.371</v>
      </c>
    </row>
    <row r="56" spans="1:13">
      <c r="A56" t="s">
        <v>465</v>
      </c>
      <c r="B56" t="s">
        <v>464</v>
      </c>
      <c r="C56" t="s">
        <v>709</v>
      </c>
      <c r="D56" t="s">
        <v>149</v>
      </c>
      <c r="E56" t="s">
        <v>835</v>
      </c>
      <c r="F56" t="s">
        <v>28</v>
      </c>
      <c r="G56">
        <v>0.73609999999999998</v>
      </c>
      <c r="H56" t="s">
        <v>149</v>
      </c>
      <c r="I56">
        <v>0.74209999999999998</v>
      </c>
      <c r="J56">
        <v>114</v>
      </c>
      <c r="K56">
        <v>0.74209999999999998</v>
      </c>
      <c r="L56">
        <v>3.5000000000000001E-3</v>
      </c>
      <c r="M56">
        <v>0.37109999999999999</v>
      </c>
    </row>
    <row r="57" spans="1:13">
      <c r="A57" t="s">
        <v>466</v>
      </c>
      <c r="B57" t="s">
        <v>465</v>
      </c>
      <c r="C57" t="s">
        <v>704</v>
      </c>
      <c r="D57" t="s">
        <v>55</v>
      </c>
      <c r="E57" t="s">
        <v>835</v>
      </c>
      <c r="F57" t="s">
        <v>28</v>
      </c>
      <c r="G57">
        <v>0.73599999999999999</v>
      </c>
      <c r="H57" t="s">
        <v>55</v>
      </c>
      <c r="I57">
        <v>0.74150000000000005</v>
      </c>
      <c r="J57">
        <v>113</v>
      </c>
      <c r="K57">
        <v>0.74150000000000005</v>
      </c>
      <c r="L57">
        <v>2.8E-3</v>
      </c>
      <c r="M57">
        <v>0.37090000000000001</v>
      </c>
    </row>
    <row r="58" spans="1:13">
      <c r="A58" t="s">
        <v>467</v>
      </c>
      <c r="B58" t="s">
        <v>466</v>
      </c>
      <c r="C58" t="s">
        <v>708</v>
      </c>
      <c r="D58" t="s">
        <v>87</v>
      </c>
      <c r="E58" t="s">
        <v>835</v>
      </c>
      <c r="F58" t="s">
        <v>28</v>
      </c>
      <c r="G58">
        <v>0.73719999999999997</v>
      </c>
      <c r="H58" t="s">
        <v>87</v>
      </c>
      <c r="I58">
        <v>0.74170000000000003</v>
      </c>
      <c r="J58">
        <v>112</v>
      </c>
      <c r="K58">
        <v>0.74170000000000003</v>
      </c>
      <c r="L58">
        <v>3.8999999999999998E-3</v>
      </c>
      <c r="M58">
        <v>0.37180000000000002</v>
      </c>
    </row>
    <row r="59" spans="1:13">
      <c r="A59" t="s">
        <v>468</v>
      </c>
      <c r="B59" t="s">
        <v>467</v>
      </c>
      <c r="C59" t="s">
        <v>717</v>
      </c>
      <c r="D59" t="s">
        <v>276</v>
      </c>
      <c r="E59" t="s">
        <v>835</v>
      </c>
      <c r="F59" t="s">
        <v>28</v>
      </c>
      <c r="G59">
        <v>0.73440000000000005</v>
      </c>
      <c r="H59" t="s">
        <v>276</v>
      </c>
      <c r="I59">
        <v>0.74239999999999995</v>
      </c>
      <c r="J59">
        <v>111</v>
      </c>
      <c r="K59">
        <v>0.74239999999999995</v>
      </c>
      <c r="L59">
        <v>5.1000000000000004E-3</v>
      </c>
      <c r="M59">
        <v>0.37180000000000002</v>
      </c>
    </row>
    <row r="60" spans="1:13">
      <c r="A60" t="s">
        <v>469</v>
      </c>
      <c r="B60" t="s">
        <v>468</v>
      </c>
      <c r="C60" t="s">
        <v>719</v>
      </c>
      <c r="D60" t="s">
        <v>115</v>
      </c>
      <c r="E60" t="s">
        <v>835</v>
      </c>
      <c r="F60" t="s">
        <v>28</v>
      </c>
      <c r="G60">
        <v>0.73519999999999996</v>
      </c>
      <c r="H60" t="s">
        <v>115</v>
      </c>
      <c r="I60">
        <v>0.74129999999999996</v>
      </c>
      <c r="J60">
        <v>110</v>
      </c>
      <c r="K60">
        <v>0.74129999999999996</v>
      </c>
      <c r="L60">
        <v>2.5000000000000001E-3</v>
      </c>
      <c r="M60">
        <v>0.36899999999999999</v>
      </c>
    </row>
    <row r="61" spans="1:13">
      <c r="A61" t="s">
        <v>470</v>
      </c>
      <c r="B61" t="s">
        <v>469</v>
      </c>
      <c r="C61" t="s">
        <v>713</v>
      </c>
      <c r="D61" t="s">
        <v>179</v>
      </c>
      <c r="E61" t="s">
        <v>835</v>
      </c>
      <c r="F61" t="s">
        <v>28</v>
      </c>
      <c r="G61">
        <v>0.73429999999999995</v>
      </c>
      <c r="H61" t="s">
        <v>179</v>
      </c>
      <c r="I61">
        <v>0.74229999999999996</v>
      </c>
      <c r="J61">
        <v>109</v>
      </c>
      <c r="K61">
        <v>0.74229999999999996</v>
      </c>
      <c r="L61">
        <v>3.7000000000000002E-3</v>
      </c>
      <c r="M61">
        <v>0.37009999999999998</v>
      </c>
    </row>
    <row r="62" spans="1:13">
      <c r="A62" t="s">
        <v>471</v>
      </c>
      <c r="B62" t="s">
        <v>470</v>
      </c>
      <c r="C62" t="s">
        <v>723</v>
      </c>
      <c r="D62" t="s">
        <v>270</v>
      </c>
      <c r="E62" t="s">
        <v>835</v>
      </c>
      <c r="F62" t="s">
        <v>28</v>
      </c>
      <c r="G62">
        <v>0.73570000000000002</v>
      </c>
      <c r="H62" t="s">
        <v>270</v>
      </c>
      <c r="I62">
        <v>0.74270000000000003</v>
      </c>
      <c r="J62">
        <v>108</v>
      </c>
      <c r="K62">
        <v>0.74270000000000003</v>
      </c>
      <c r="L62">
        <v>2.7000000000000001E-3</v>
      </c>
      <c r="M62">
        <v>0.36990000000000001</v>
      </c>
    </row>
    <row r="63" spans="1:13">
      <c r="A63" t="s">
        <v>472</v>
      </c>
      <c r="B63" t="s">
        <v>471</v>
      </c>
      <c r="C63" t="s">
        <v>710</v>
      </c>
      <c r="D63" t="s">
        <v>83</v>
      </c>
      <c r="E63" t="s">
        <v>835</v>
      </c>
      <c r="F63" t="s">
        <v>28</v>
      </c>
      <c r="G63">
        <v>0.73529999999999995</v>
      </c>
      <c r="H63" t="s">
        <v>83</v>
      </c>
      <c r="I63">
        <v>0.74180000000000001</v>
      </c>
      <c r="J63">
        <v>107</v>
      </c>
      <c r="K63">
        <v>0.74180000000000001</v>
      </c>
      <c r="L63">
        <v>4.4999999999999997E-3</v>
      </c>
      <c r="M63">
        <v>0.36870000000000003</v>
      </c>
    </row>
    <row r="64" spans="1:13">
      <c r="A64" t="s">
        <v>473</v>
      </c>
      <c r="B64" t="s">
        <v>472</v>
      </c>
      <c r="C64" t="s">
        <v>721</v>
      </c>
      <c r="D64" t="s">
        <v>69</v>
      </c>
      <c r="E64" t="s">
        <v>835</v>
      </c>
      <c r="F64" t="s">
        <v>28</v>
      </c>
      <c r="G64">
        <v>0.73529999999999995</v>
      </c>
      <c r="H64" t="s">
        <v>69</v>
      </c>
      <c r="I64">
        <v>0.7429</v>
      </c>
      <c r="J64">
        <v>106</v>
      </c>
      <c r="K64">
        <v>0.7429</v>
      </c>
      <c r="L64">
        <v>3.0999999999999999E-3</v>
      </c>
      <c r="M64">
        <v>0.36919999999999997</v>
      </c>
    </row>
    <row r="65" spans="1:13">
      <c r="A65" t="s">
        <v>474</v>
      </c>
      <c r="B65" t="s">
        <v>473</v>
      </c>
      <c r="C65" t="s">
        <v>706</v>
      </c>
      <c r="D65" t="s">
        <v>277</v>
      </c>
      <c r="E65" t="s">
        <v>835</v>
      </c>
      <c r="F65" t="s">
        <v>28</v>
      </c>
      <c r="G65">
        <v>0.7359</v>
      </c>
      <c r="H65" t="s">
        <v>277</v>
      </c>
      <c r="I65">
        <v>0.74270000000000003</v>
      </c>
      <c r="J65">
        <v>105</v>
      </c>
      <c r="K65">
        <v>0.74270000000000003</v>
      </c>
      <c r="L65">
        <v>3.8999999999999998E-3</v>
      </c>
      <c r="M65">
        <v>0.37040000000000001</v>
      </c>
    </row>
    <row r="66" spans="1:13">
      <c r="A66" t="s">
        <v>475</v>
      </c>
      <c r="B66" t="s">
        <v>474</v>
      </c>
      <c r="C66" t="s">
        <v>712</v>
      </c>
      <c r="D66" t="s">
        <v>172</v>
      </c>
      <c r="E66" t="s">
        <v>835</v>
      </c>
      <c r="F66" t="s">
        <v>28</v>
      </c>
      <c r="G66">
        <v>0.73619999999999997</v>
      </c>
      <c r="H66" t="s">
        <v>172</v>
      </c>
      <c r="I66">
        <v>0.74329999999999996</v>
      </c>
      <c r="J66">
        <v>104</v>
      </c>
      <c r="K66">
        <v>0.74329999999999996</v>
      </c>
      <c r="L66">
        <v>3.7000000000000002E-3</v>
      </c>
      <c r="M66">
        <v>0.37090000000000001</v>
      </c>
    </row>
    <row r="67" spans="1:13">
      <c r="A67" t="s">
        <v>476</v>
      </c>
      <c r="B67" t="s">
        <v>475</v>
      </c>
      <c r="C67" t="s">
        <v>724</v>
      </c>
      <c r="D67" t="s">
        <v>11</v>
      </c>
      <c r="E67" t="s">
        <v>835</v>
      </c>
      <c r="F67" t="s">
        <v>28</v>
      </c>
      <c r="G67">
        <v>0.73480000000000001</v>
      </c>
      <c r="H67" t="s">
        <v>11</v>
      </c>
      <c r="I67">
        <v>0.74380000000000002</v>
      </c>
      <c r="J67">
        <v>103</v>
      </c>
      <c r="K67">
        <v>0.74380000000000002</v>
      </c>
      <c r="L67">
        <v>3.8999999999999998E-3</v>
      </c>
      <c r="M67">
        <v>0.36940000000000001</v>
      </c>
    </row>
    <row r="68" spans="1:13">
      <c r="A68" t="s">
        <v>477</v>
      </c>
      <c r="B68" t="s">
        <v>476</v>
      </c>
      <c r="C68" t="s">
        <v>727</v>
      </c>
      <c r="D68" t="s">
        <v>275</v>
      </c>
      <c r="E68" t="s">
        <v>835</v>
      </c>
      <c r="F68" t="s">
        <v>28</v>
      </c>
      <c r="G68">
        <v>0.73550000000000004</v>
      </c>
      <c r="H68" t="s">
        <v>275</v>
      </c>
      <c r="I68">
        <v>0.74199999999999999</v>
      </c>
      <c r="J68">
        <v>102</v>
      </c>
      <c r="K68">
        <v>0.74199999999999999</v>
      </c>
      <c r="L68">
        <v>2.7000000000000001E-3</v>
      </c>
      <c r="M68">
        <v>0.36919999999999997</v>
      </c>
    </row>
    <row r="69" spans="1:13">
      <c r="A69" t="s">
        <v>478</v>
      </c>
      <c r="B69" t="s">
        <v>477</v>
      </c>
      <c r="C69" t="s">
        <v>730</v>
      </c>
      <c r="D69" t="s">
        <v>163</v>
      </c>
      <c r="E69" t="s">
        <v>835</v>
      </c>
      <c r="F69" t="s">
        <v>28</v>
      </c>
      <c r="G69">
        <v>0.73729999999999996</v>
      </c>
      <c r="H69" t="s">
        <v>163</v>
      </c>
      <c r="I69">
        <v>0.74229999999999996</v>
      </c>
      <c r="J69">
        <v>101</v>
      </c>
      <c r="K69">
        <v>0.74199999999999999</v>
      </c>
      <c r="L69">
        <v>3.8999999999999998E-3</v>
      </c>
      <c r="M69">
        <v>0.36930000000000002</v>
      </c>
    </row>
    <row r="70" spans="1:13">
      <c r="A70" t="s">
        <v>479</v>
      </c>
      <c r="B70" t="s">
        <v>478</v>
      </c>
      <c r="C70" t="s">
        <v>722</v>
      </c>
      <c r="D70" t="s">
        <v>310</v>
      </c>
      <c r="E70" t="s">
        <v>835</v>
      </c>
      <c r="F70" t="s">
        <v>28</v>
      </c>
      <c r="G70">
        <v>0.73650000000000004</v>
      </c>
      <c r="H70" t="s">
        <v>310</v>
      </c>
      <c r="I70">
        <v>0.74160000000000004</v>
      </c>
      <c r="J70">
        <v>100</v>
      </c>
      <c r="K70">
        <v>0.74209999999999998</v>
      </c>
      <c r="L70">
        <v>4.1000000000000003E-3</v>
      </c>
      <c r="M70">
        <v>0.36749999999999999</v>
      </c>
    </row>
    <row r="71" spans="1:13">
      <c r="A71" t="s">
        <v>480</v>
      </c>
      <c r="B71" t="s">
        <v>479</v>
      </c>
      <c r="C71" t="s">
        <v>720</v>
      </c>
      <c r="D71" t="s">
        <v>333</v>
      </c>
      <c r="E71" t="s">
        <v>835</v>
      </c>
      <c r="F71" t="s">
        <v>28</v>
      </c>
      <c r="G71">
        <v>0.73719999999999997</v>
      </c>
      <c r="H71" t="s">
        <v>333</v>
      </c>
      <c r="I71">
        <v>0.74219999999999997</v>
      </c>
      <c r="J71">
        <v>99</v>
      </c>
      <c r="K71">
        <v>0.74219999999999997</v>
      </c>
      <c r="L71">
        <v>4.1999999999999997E-3</v>
      </c>
      <c r="M71">
        <v>0.36870000000000003</v>
      </c>
    </row>
    <row r="72" spans="1:13">
      <c r="A72" t="s">
        <v>481</v>
      </c>
      <c r="B72" t="s">
        <v>480</v>
      </c>
      <c r="C72" t="s">
        <v>729</v>
      </c>
      <c r="D72" t="s">
        <v>129</v>
      </c>
      <c r="E72" t="s">
        <v>835</v>
      </c>
      <c r="F72" t="s">
        <v>28</v>
      </c>
      <c r="G72">
        <v>0.73609999999999998</v>
      </c>
      <c r="H72" t="s">
        <v>129</v>
      </c>
      <c r="I72">
        <v>0.7429</v>
      </c>
      <c r="J72">
        <v>98</v>
      </c>
      <c r="K72">
        <v>0.7429</v>
      </c>
      <c r="L72">
        <v>4.4999999999999997E-3</v>
      </c>
      <c r="M72">
        <v>0.36849999999999999</v>
      </c>
    </row>
    <row r="73" spans="1:13">
      <c r="A73" t="s">
        <v>482</v>
      </c>
      <c r="B73" t="s">
        <v>481</v>
      </c>
      <c r="C73" t="s">
        <v>733</v>
      </c>
      <c r="D73" t="s">
        <v>264</v>
      </c>
      <c r="E73" t="s">
        <v>835</v>
      </c>
      <c r="F73" t="s">
        <v>28</v>
      </c>
      <c r="G73">
        <v>0.73509999999999998</v>
      </c>
      <c r="H73" t="s">
        <v>264</v>
      </c>
      <c r="I73">
        <v>0.74380000000000002</v>
      </c>
      <c r="J73">
        <v>97</v>
      </c>
      <c r="K73">
        <v>0.74299999999999999</v>
      </c>
      <c r="L73">
        <v>3.8E-3</v>
      </c>
      <c r="M73">
        <v>0.36820000000000003</v>
      </c>
    </row>
    <row r="74" spans="1:13">
      <c r="A74" t="s">
        <v>483</v>
      </c>
      <c r="B74" t="s">
        <v>482</v>
      </c>
      <c r="C74" t="s">
        <v>725</v>
      </c>
      <c r="D74" t="s">
        <v>178</v>
      </c>
      <c r="E74" t="s">
        <v>835</v>
      </c>
      <c r="F74" t="s">
        <v>28</v>
      </c>
      <c r="G74">
        <v>0.7389</v>
      </c>
      <c r="H74" t="s">
        <v>178</v>
      </c>
      <c r="I74">
        <v>0.74399999999999999</v>
      </c>
      <c r="J74">
        <v>96</v>
      </c>
      <c r="K74">
        <v>0.74419999999999997</v>
      </c>
      <c r="L74">
        <v>3.5000000000000001E-3</v>
      </c>
      <c r="M74">
        <v>0.36919999999999997</v>
      </c>
    </row>
    <row r="75" spans="1:13">
      <c r="A75" t="s">
        <v>484</v>
      </c>
      <c r="B75" t="s">
        <v>483</v>
      </c>
      <c r="C75" t="s">
        <v>737</v>
      </c>
      <c r="D75" t="s">
        <v>228</v>
      </c>
      <c r="E75" t="s">
        <v>835</v>
      </c>
      <c r="F75" t="s">
        <v>28</v>
      </c>
      <c r="G75">
        <v>0.73780000000000001</v>
      </c>
      <c r="H75" t="s">
        <v>228</v>
      </c>
      <c r="I75">
        <v>0.74380000000000002</v>
      </c>
      <c r="J75">
        <v>95</v>
      </c>
      <c r="K75">
        <v>0.74380000000000002</v>
      </c>
      <c r="L75">
        <v>2.8E-3</v>
      </c>
      <c r="M75">
        <v>0.36890000000000001</v>
      </c>
    </row>
    <row r="76" spans="1:13">
      <c r="A76" t="s">
        <v>485</v>
      </c>
      <c r="B76" t="s">
        <v>484</v>
      </c>
      <c r="C76" t="s">
        <v>726</v>
      </c>
      <c r="D76" t="s">
        <v>164</v>
      </c>
      <c r="E76" t="s">
        <v>835</v>
      </c>
      <c r="F76" t="s">
        <v>28</v>
      </c>
      <c r="G76">
        <v>0.73740000000000006</v>
      </c>
      <c r="H76" t="s">
        <v>164</v>
      </c>
      <c r="I76">
        <v>0.74470000000000003</v>
      </c>
      <c r="J76">
        <v>94</v>
      </c>
      <c r="K76">
        <v>0.74470000000000003</v>
      </c>
      <c r="L76">
        <v>5.5999999999999999E-3</v>
      </c>
      <c r="M76">
        <v>0.36919999999999997</v>
      </c>
    </row>
    <row r="77" spans="1:13">
      <c r="A77" t="s">
        <v>486</v>
      </c>
      <c r="B77" t="s">
        <v>485</v>
      </c>
      <c r="C77" t="s">
        <v>736</v>
      </c>
      <c r="D77" t="s">
        <v>288</v>
      </c>
      <c r="E77" t="s">
        <v>835</v>
      </c>
      <c r="F77" t="s">
        <v>28</v>
      </c>
      <c r="G77">
        <v>0.73770000000000002</v>
      </c>
      <c r="H77" t="s">
        <v>288</v>
      </c>
      <c r="I77">
        <v>0.74480000000000002</v>
      </c>
      <c r="J77">
        <v>93</v>
      </c>
      <c r="K77">
        <v>0.74480000000000002</v>
      </c>
      <c r="L77">
        <v>5.3E-3</v>
      </c>
      <c r="M77">
        <v>0.37030000000000002</v>
      </c>
    </row>
    <row r="78" spans="1:13">
      <c r="A78" t="s">
        <v>487</v>
      </c>
      <c r="B78" t="s">
        <v>486</v>
      </c>
      <c r="C78" t="s">
        <v>734</v>
      </c>
      <c r="D78" t="s">
        <v>68</v>
      </c>
      <c r="E78" t="s">
        <v>835</v>
      </c>
      <c r="F78" t="s">
        <v>28</v>
      </c>
      <c r="G78">
        <v>0.73760000000000003</v>
      </c>
      <c r="H78" t="s">
        <v>68</v>
      </c>
      <c r="I78">
        <v>0.74399999999999999</v>
      </c>
      <c r="J78">
        <v>92</v>
      </c>
      <c r="K78">
        <v>0.74390000000000001</v>
      </c>
      <c r="L78">
        <v>4.3E-3</v>
      </c>
      <c r="M78">
        <v>0.36990000000000001</v>
      </c>
    </row>
    <row r="79" spans="1:13">
      <c r="A79" t="s">
        <v>488</v>
      </c>
      <c r="B79" t="s">
        <v>487</v>
      </c>
      <c r="C79" t="s">
        <v>735</v>
      </c>
      <c r="D79" t="s">
        <v>331</v>
      </c>
      <c r="E79" t="s">
        <v>835</v>
      </c>
      <c r="F79" t="s">
        <v>28</v>
      </c>
      <c r="G79">
        <v>0.73740000000000006</v>
      </c>
      <c r="H79" t="s">
        <v>331</v>
      </c>
      <c r="I79">
        <v>0.74580000000000002</v>
      </c>
      <c r="J79">
        <v>91</v>
      </c>
      <c r="K79">
        <v>0.74570000000000003</v>
      </c>
      <c r="L79">
        <v>3.5000000000000001E-3</v>
      </c>
      <c r="M79">
        <v>0.37119999999999997</v>
      </c>
    </row>
    <row r="80" spans="1:13">
      <c r="A80" t="s">
        <v>489</v>
      </c>
      <c r="B80" t="s">
        <v>488</v>
      </c>
      <c r="C80" t="s">
        <v>731</v>
      </c>
      <c r="D80" t="s">
        <v>281</v>
      </c>
      <c r="E80" t="s">
        <v>835</v>
      </c>
      <c r="F80" t="s">
        <v>28</v>
      </c>
      <c r="G80">
        <v>0.73899999999999999</v>
      </c>
      <c r="H80" t="s">
        <v>281</v>
      </c>
      <c r="I80">
        <v>0.74380000000000002</v>
      </c>
      <c r="J80">
        <v>90</v>
      </c>
      <c r="K80">
        <v>0.74380000000000002</v>
      </c>
      <c r="L80">
        <v>3.3E-3</v>
      </c>
      <c r="M80">
        <v>0.37009999999999998</v>
      </c>
    </row>
    <row r="81" spans="1:13">
      <c r="A81" t="s">
        <v>490</v>
      </c>
      <c r="B81" t="s">
        <v>489</v>
      </c>
      <c r="C81" t="s">
        <v>743</v>
      </c>
      <c r="D81" t="s">
        <v>85</v>
      </c>
      <c r="E81" t="s">
        <v>835</v>
      </c>
      <c r="F81" t="s">
        <v>28</v>
      </c>
      <c r="G81">
        <v>0.73780000000000001</v>
      </c>
      <c r="H81" t="s">
        <v>85</v>
      </c>
      <c r="I81">
        <v>0.74580000000000002</v>
      </c>
      <c r="J81">
        <v>89</v>
      </c>
      <c r="K81">
        <v>0.74580000000000002</v>
      </c>
      <c r="L81">
        <v>4.7000000000000002E-3</v>
      </c>
      <c r="M81">
        <v>0.36799999999999999</v>
      </c>
    </row>
    <row r="82" spans="1:13">
      <c r="A82" t="s">
        <v>491</v>
      </c>
      <c r="B82" t="s">
        <v>490</v>
      </c>
      <c r="C82" t="s">
        <v>746</v>
      </c>
      <c r="D82" t="s">
        <v>321</v>
      </c>
      <c r="E82" t="s">
        <v>835</v>
      </c>
      <c r="F82" t="s">
        <v>28</v>
      </c>
      <c r="G82">
        <v>0.7379</v>
      </c>
      <c r="H82" t="s">
        <v>321</v>
      </c>
      <c r="I82">
        <v>0.74539999999999995</v>
      </c>
      <c r="J82">
        <v>88</v>
      </c>
      <c r="K82">
        <v>0.74539999999999995</v>
      </c>
      <c r="L82">
        <v>3.3E-3</v>
      </c>
      <c r="M82">
        <v>0.36909999999999998</v>
      </c>
    </row>
    <row r="83" spans="1:13">
      <c r="A83" t="s">
        <v>492</v>
      </c>
      <c r="B83" t="s">
        <v>491</v>
      </c>
      <c r="C83" t="s">
        <v>748</v>
      </c>
      <c r="D83" t="s">
        <v>158</v>
      </c>
      <c r="E83" t="s">
        <v>835</v>
      </c>
      <c r="F83" t="s">
        <v>28</v>
      </c>
      <c r="G83">
        <v>0.73819999999999997</v>
      </c>
      <c r="H83" t="s">
        <v>158</v>
      </c>
      <c r="I83">
        <v>0.74690000000000001</v>
      </c>
      <c r="J83">
        <v>87</v>
      </c>
      <c r="K83">
        <v>0.74670000000000003</v>
      </c>
      <c r="L83">
        <v>5.0000000000000001E-3</v>
      </c>
      <c r="M83">
        <v>0.36840000000000001</v>
      </c>
    </row>
    <row r="84" spans="1:13">
      <c r="A84" t="s">
        <v>493</v>
      </c>
      <c r="B84" t="s">
        <v>492</v>
      </c>
      <c r="C84" t="s">
        <v>728</v>
      </c>
      <c r="D84" t="s">
        <v>63</v>
      </c>
      <c r="E84" t="s">
        <v>835</v>
      </c>
      <c r="F84" t="s">
        <v>28</v>
      </c>
      <c r="G84">
        <v>0.73980000000000001</v>
      </c>
      <c r="H84" t="s">
        <v>63</v>
      </c>
      <c r="I84">
        <v>0.74690000000000001</v>
      </c>
      <c r="J84">
        <v>86</v>
      </c>
      <c r="K84">
        <v>0.74690000000000001</v>
      </c>
      <c r="L84">
        <v>4.7999999999999996E-3</v>
      </c>
      <c r="M84">
        <v>0.36830000000000002</v>
      </c>
    </row>
    <row r="85" spans="1:13">
      <c r="A85" t="s">
        <v>494</v>
      </c>
      <c r="B85" t="s">
        <v>493</v>
      </c>
      <c r="C85" t="s">
        <v>732</v>
      </c>
      <c r="D85" t="s">
        <v>283</v>
      </c>
      <c r="E85" t="s">
        <v>835</v>
      </c>
      <c r="F85" t="s">
        <v>28</v>
      </c>
      <c r="G85">
        <v>0.74019999999999997</v>
      </c>
      <c r="H85" t="s">
        <v>283</v>
      </c>
      <c r="I85">
        <v>0.74729999999999996</v>
      </c>
      <c r="J85">
        <v>85</v>
      </c>
      <c r="K85">
        <v>0.74729999999999996</v>
      </c>
      <c r="L85">
        <v>3.5999999999999999E-3</v>
      </c>
      <c r="M85">
        <v>0.36880000000000002</v>
      </c>
    </row>
    <row r="86" spans="1:13">
      <c r="A86" t="s">
        <v>495</v>
      </c>
      <c r="B86" t="s">
        <v>494</v>
      </c>
      <c r="C86" t="s">
        <v>744</v>
      </c>
      <c r="D86" t="s">
        <v>148</v>
      </c>
      <c r="E86" t="s">
        <v>835</v>
      </c>
      <c r="F86" t="s">
        <v>28</v>
      </c>
      <c r="G86">
        <v>0.73950000000000005</v>
      </c>
      <c r="H86" t="s">
        <v>148</v>
      </c>
      <c r="I86">
        <v>0.74570000000000003</v>
      </c>
      <c r="J86">
        <v>84</v>
      </c>
      <c r="K86">
        <v>0.74570000000000003</v>
      </c>
      <c r="L86">
        <v>3.7000000000000002E-3</v>
      </c>
      <c r="M86">
        <v>0.3679</v>
      </c>
    </row>
    <row r="87" spans="1:13">
      <c r="A87" t="s">
        <v>496</v>
      </c>
      <c r="B87" t="s">
        <v>495</v>
      </c>
      <c r="C87" t="s">
        <v>738</v>
      </c>
      <c r="D87" t="s">
        <v>169</v>
      </c>
      <c r="E87" t="s">
        <v>835</v>
      </c>
      <c r="F87" t="s">
        <v>28</v>
      </c>
      <c r="G87">
        <v>0.73909999999999998</v>
      </c>
      <c r="H87" t="s">
        <v>169</v>
      </c>
      <c r="I87">
        <v>0.746</v>
      </c>
      <c r="J87">
        <v>83</v>
      </c>
      <c r="K87">
        <v>0.74650000000000005</v>
      </c>
      <c r="L87">
        <v>3.0999999999999999E-3</v>
      </c>
      <c r="M87">
        <v>0.36770000000000003</v>
      </c>
    </row>
    <row r="88" spans="1:13">
      <c r="A88" t="s">
        <v>497</v>
      </c>
      <c r="B88" t="s">
        <v>496</v>
      </c>
      <c r="C88" t="s">
        <v>739</v>
      </c>
      <c r="D88" t="s">
        <v>37</v>
      </c>
      <c r="E88" t="s">
        <v>835</v>
      </c>
      <c r="F88" t="s">
        <v>28</v>
      </c>
      <c r="G88">
        <v>0.7399</v>
      </c>
      <c r="H88" t="s">
        <v>37</v>
      </c>
      <c r="I88">
        <v>0.74639999999999995</v>
      </c>
      <c r="J88">
        <v>82</v>
      </c>
      <c r="K88">
        <v>0.74639999999999995</v>
      </c>
      <c r="L88">
        <v>3.7000000000000002E-3</v>
      </c>
      <c r="M88">
        <v>0.37159999999999999</v>
      </c>
    </row>
    <row r="89" spans="1:13">
      <c r="A89" t="s">
        <v>498</v>
      </c>
      <c r="B89" t="s">
        <v>497</v>
      </c>
      <c r="C89" t="s">
        <v>749</v>
      </c>
      <c r="D89" t="s">
        <v>64</v>
      </c>
      <c r="E89" t="s">
        <v>835</v>
      </c>
      <c r="F89" t="s">
        <v>28</v>
      </c>
      <c r="G89">
        <v>0.73780000000000001</v>
      </c>
      <c r="H89" t="s">
        <v>64</v>
      </c>
      <c r="I89">
        <v>0.74639999999999995</v>
      </c>
      <c r="J89">
        <v>81</v>
      </c>
      <c r="K89">
        <v>0.74639999999999995</v>
      </c>
      <c r="L89">
        <v>3.7000000000000002E-3</v>
      </c>
      <c r="M89">
        <v>0.37159999999999999</v>
      </c>
    </row>
    <row r="90" spans="1:13">
      <c r="A90" t="s">
        <v>499</v>
      </c>
      <c r="B90" t="s">
        <v>498</v>
      </c>
      <c r="C90" t="s">
        <v>745</v>
      </c>
      <c r="D90" t="s">
        <v>146</v>
      </c>
      <c r="E90" t="s">
        <v>835</v>
      </c>
      <c r="F90" t="s">
        <v>28</v>
      </c>
      <c r="G90">
        <v>0.73780000000000001</v>
      </c>
      <c r="H90" t="s">
        <v>146</v>
      </c>
      <c r="I90">
        <v>0.74650000000000005</v>
      </c>
      <c r="J90">
        <v>80</v>
      </c>
      <c r="K90">
        <v>0.74650000000000005</v>
      </c>
      <c r="L90">
        <v>3.8999999999999998E-3</v>
      </c>
      <c r="M90">
        <v>0.37219999999999998</v>
      </c>
    </row>
    <row r="91" spans="1:13">
      <c r="A91" t="s">
        <v>500</v>
      </c>
      <c r="B91" t="s">
        <v>499</v>
      </c>
      <c r="C91" t="s">
        <v>755</v>
      </c>
      <c r="D91" t="s">
        <v>265</v>
      </c>
      <c r="E91" t="s">
        <v>835</v>
      </c>
      <c r="F91" t="s">
        <v>28</v>
      </c>
      <c r="G91">
        <v>0.73850000000000005</v>
      </c>
      <c r="H91" t="s">
        <v>265</v>
      </c>
      <c r="I91">
        <v>0.74750000000000005</v>
      </c>
      <c r="J91">
        <v>79</v>
      </c>
      <c r="K91">
        <v>0.74750000000000005</v>
      </c>
      <c r="L91">
        <v>5.1000000000000004E-3</v>
      </c>
      <c r="M91">
        <v>0.37109999999999999</v>
      </c>
    </row>
    <row r="92" spans="1:13">
      <c r="A92" t="s">
        <v>501</v>
      </c>
      <c r="B92" t="s">
        <v>500</v>
      </c>
      <c r="C92" t="s">
        <v>740</v>
      </c>
      <c r="D92" t="s">
        <v>109</v>
      </c>
      <c r="E92" t="s">
        <v>835</v>
      </c>
      <c r="F92" t="s">
        <v>28</v>
      </c>
      <c r="G92">
        <v>0.73809999999999998</v>
      </c>
      <c r="H92" t="s">
        <v>109</v>
      </c>
      <c r="I92">
        <v>0.74719999999999998</v>
      </c>
      <c r="J92">
        <v>78</v>
      </c>
      <c r="K92">
        <v>0.74719999999999998</v>
      </c>
      <c r="L92">
        <v>5.1000000000000004E-3</v>
      </c>
      <c r="M92">
        <v>0.3715</v>
      </c>
    </row>
    <row r="93" spans="1:13">
      <c r="A93" t="s">
        <v>502</v>
      </c>
      <c r="B93" t="s">
        <v>501</v>
      </c>
      <c r="C93" t="s">
        <v>754</v>
      </c>
      <c r="D93" t="s">
        <v>157</v>
      </c>
      <c r="E93" t="s">
        <v>835</v>
      </c>
      <c r="F93" t="s">
        <v>28</v>
      </c>
      <c r="G93">
        <v>0.73929999999999996</v>
      </c>
      <c r="H93" t="s">
        <v>157</v>
      </c>
      <c r="I93">
        <v>0.74709999999999999</v>
      </c>
      <c r="J93">
        <v>77</v>
      </c>
      <c r="K93">
        <v>0.74719999999999998</v>
      </c>
      <c r="L93">
        <v>3.0999999999999999E-3</v>
      </c>
      <c r="M93">
        <v>0.37169999999999997</v>
      </c>
    </row>
    <row r="94" spans="1:13">
      <c r="A94" t="s">
        <v>503</v>
      </c>
      <c r="B94" t="s">
        <v>502</v>
      </c>
      <c r="C94" t="s">
        <v>752</v>
      </c>
      <c r="D94" t="s">
        <v>131</v>
      </c>
      <c r="E94" t="s">
        <v>835</v>
      </c>
      <c r="F94" t="s">
        <v>28</v>
      </c>
      <c r="G94">
        <v>0.74050000000000005</v>
      </c>
      <c r="H94" t="s">
        <v>131</v>
      </c>
      <c r="I94">
        <v>0.74650000000000005</v>
      </c>
      <c r="J94">
        <v>76</v>
      </c>
      <c r="K94">
        <v>0.74650000000000005</v>
      </c>
      <c r="L94">
        <v>4.1999999999999997E-3</v>
      </c>
      <c r="M94">
        <v>0.36549999999999999</v>
      </c>
    </row>
    <row r="95" spans="1:13">
      <c r="A95" t="s">
        <v>504</v>
      </c>
      <c r="B95" t="s">
        <v>503</v>
      </c>
      <c r="C95" t="s">
        <v>747</v>
      </c>
      <c r="D95" t="s">
        <v>279</v>
      </c>
      <c r="E95" t="s">
        <v>835</v>
      </c>
      <c r="F95" t="s">
        <v>28</v>
      </c>
      <c r="G95">
        <v>0.73919999999999997</v>
      </c>
      <c r="H95" t="s">
        <v>279</v>
      </c>
      <c r="I95">
        <v>0.747</v>
      </c>
      <c r="J95">
        <v>75</v>
      </c>
      <c r="K95">
        <v>0.74719999999999998</v>
      </c>
      <c r="L95">
        <v>4.4999999999999997E-3</v>
      </c>
      <c r="M95">
        <v>0.37169999999999997</v>
      </c>
    </row>
    <row r="96" spans="1:13">
      <c r="A96" t="s">
        <v>505</v>
      </c>
      <c r="B96" t="s">
        <v>504</v>
      </c>
      <c r="C96" t="s">
        <v>760</v>
      </c>
      <c r="D96" t="s">
        <v>88</v>
      </c>
      <c r="E96" t="s">
        <v>835</v>
      </c>
      <c r="F96" t="s">
        <v>28</v>
      </c>
      <c r="G96">
        <v>0.7409</v>
      </c>
      <c r="H96" t="s">
        <v>88</v>
      </c>
      <c r="I96">
        <v>0.74660000000000004</v>
      </c>
      <c r="J96">
        <v>74</v>
      </c>
      <c r="K96">
        <v>0.74660000000000004</v>
      </c>
      <c r="L96">
        <v>3.0999999999999999E-3</v>
      </c>
      <c r="M96">
        <v>0.3695</v>
      </c>
    </row>
    <row r="97" spans="1:13">
      <c r="A97" t="s">
        <v>506</v>
      </c>
      <c r="B97" t="s">
        <v>505</v>
      </c>
      <c r="C97" t="s">
        <v>741</v>
      </c>
      <c r="D97" t="s">
        <v>316</v>
      </c>
      <c r="E97" t="s">
        <v>835</v>
      </c>
      <c r="F97" t="s">
        <v>28</v>
      </c>
      <c r="G97">
        <v>0.74</v>
      </c>
      <c r="H97" t="s">
        <v>316</v>
      </c>
      <c r="I97">
        <v>0.74790000000000001</v>
      </c>
      <c r="J97">
        <v>73</v>
      </c>
      <c r="K97">
        <v>0.74780000000000002</v>
      </c>
      <c r="L97">
        <v>3.5000000000000001E-3</v>
      </c>
      <c r="M97">
        <v>0.36840000000000001</v>
      </c>
    </row>
    <row r="98" spans="1:13">
      <c r="A98" t="s">
        <v>507</v>
      </c>
      <c r="B98" t="s">
        <v>506</v>
      </c>
      <c r="C98" t="s">
        <v>758</v>
      </c>
      <c r="D98" t="s">
        <v>162</v>
      </c>
      <c r="E98" t="s">
        <v>835</v>
      </c>
      <c r="F98" t="s">
        <v>28</v>
      </c>
      <c r="G98">
        <v>0.74129999999999996</v>
      </c>
      <c r="H98" t="s">
        <v>162</v>
      </c>
      <c r="I98">
        <v>0.74739999999999995</v>
      </c>
      <c r="J98">
        <v>72</v>
      </c>
      <c r="K98">
        <v>0.74739999999999995</v>
      </c>
      <c r="L98">
        <v>2.5000000000000001E-3</v>
      </c>
      <c r="M98">
        <v>0.36940000000000001</v>
      </c>
    </row>
    <row r="99" spans="1:13">
      <c r="A99" t="s">
        <v>508</v>
      </c>
      <c r="B99" t="s">
        <v>507</v>
      </c>
      <c r="C99" t="s">
        <v>753</v>
      </c>
      <c r="D99" t="s">
        <v>327</v>
      </c>
      <c r="E99" t="s">
        <v>835</v>
      </c>
      <c r="F99" t="s">
        <v>28</v>
      </c>
      <c r="G99">
        <v>0.74060000000000004</v>
      </c>
      <c r="H99" t="s">
        <v>327</v>
      </c>
      <c r="I99">
        <v>0.74639999999999995</v>
      </c>
      <c r="J99">
        <v>71</v>
      </c>
      <c r="K99">
        <v>0.74639999999999995</v>
      </c>
      <c r="L99">
        <v>5.8999999999999999E-3</v>
      </c>
      <c r="M99">
        <v>0.36840000000000001</v>
      </c>
    </row>
    <row r="100" spans="1:13">
      <c r="A100" t="s">
        <v>509</v>
      </c>
      <c r="B100" t="s">
        <v>508</v>
      </c>
      <c r="C100" t="s">
        <v>751</v>
      </c>
      <c r="D100" t="s">
        <v>136</v>
      </c>
      <c r="E100" t="s">
        <v>835</v>
      </c>
      <c r="F100" t="s">
        <v>28</v>
      </c>
      <c r="G100">
        <v>0.74129999999999996</v>
      </c>
      <c r="H100" t="s">
        <v>136</v>
      </c>
      <c r="I100">
        <v>0.74770000000000003</v>
      </c>
      <c r="J100">
        <v>70</v>
      </c>
      <c r="K100">
        <v>0.747</v>
      </c>
      <c r="L100">
        <v>5.4000000000000003E-3</v>
      </c>
      <c r="M100">
        <v>0.36990000000000001</v>
      </c>
    </row>
    <row r="101" spans="1:13">
      <c r="A101" t="s">
        <v>510</v>
      </c>
      <c r="B101" t="s">
        <v>509</v>
      </c>
      <c r="C101" t="s">
        <v>767</v>
      </c>
      <c r="D101" t="s">
        <v>23</v>
      </c>
      <c r="E101" t="s">
        <v>835</v>
      </c>
      <c r="F101" t="s">
        <v>28</v>
      </c>
      <c r="G101">
        <v>0.74180000000000001</v>
      </c>
      <c r="H101" t="s">
        <v>23</v>
      </c>
      <c r="I101">
        <v>0.74739999999999995</v>
      </c>
      <c r="J101">
        <v>69</v>
      </c>
      <c r="K101">
        <v>0.74870000000000003</v>
      </c>
      <c r="L101">
        <v>2.3999999999999998E-3</v>
      </c>
      <c r="M101">
        <v>0.37019999999999997</v>
      </c>
    </row>
    <row r="102" spans="1:13">
      <c r="A102" t="s">
        <v>511</v>
      </c>
      <c r="B102" t="s">
        <v>510</v>
      </c>
      <c r="C102" t="s">
        <v>756</v>
      </c>
      <c r="D102" t="s">
        <v>230</v>
      </c>
      <c r="E102" t="s">
        <v>835</v>
      </c>
      <c r="F102" t="s">
        <v>28</v>
      </c>
      <c r="G102">
        <v>0.74180000000000001</v>
      </c>
      <c r="H102" t="s">
        <v>230</v>
      </c>
      <c r="I102">
        <v>0.74909999999999999</v>
      </c>
      <c r="J102">
        <v>68</v>
      </c>
      <c r="K102">
        <v>0.74909999999999999</v>
      </c>
      <c r="L102">
        <v>4.1000000000000003E-3</v>
      </c>
      <c r="M102">
        <v>0.37359999999999999</v>
      </c>
    </row>
    <row r="103" spans="1:13">
      <c r="A103" t="s">
        <v>512</v>
      </c>
      <c r="B103" t="s">
        <v>511</v>
      </c>
      <c r="C103" t="s">
        <v>769</v>
      </c>
      <c r="D103" t="s">
        <v>130</v>
      </c>
      <c r="E103" t="s">
        <v>835</v>
      </c>
      <c r="F103" t="s">
        <v>28</v>
      </c>
      <c r="G103">
        <v>0.74199999999999999</v>
      </c>
      <c r="H103" t="s">
        <v>130</v>
      </c>
      <c r="I103">
        <v>0.74860000000000004</v>
      </c>
      <c r="J103">
        <v>67</v>
      </c>
      <c r="K103">
        <v>0.74860000000000004</v>
      </c>
      <c r="L103">
        <v>4.5999999999999999E-3</v>
      </c>
      <c r="M103">
        <v>0.371</v>
      </c>
    </row>
    <row r="104" spans="1:13">
      <c r="A104" t="s">
        <v>513</v>
      </c>
      <c r="B104" t="s">
        <v>512</v>
      </c>
      <c r="C104" t="s">
        <v>761</v>
      </c>
      <c r="D104" t="s">
        <v>252</v>
      </c>
      <c r="E104" t="s">
        <v>835</v>
      </c>
      <c r="F104" t="s">
        <v>28</v>
      </c>
      <c r="G104">
        <v>0.74139999999999995</v>
      </c>
      <c r="H104" t="s">
        <v>252</v>
      </c>
      <c r="I104">
        <v>0.74939999999999996</v>
      </c>
      <c r="J104">
        <v>66</v>
      </c>
      <c r="K104">
        <v>0.74939999999999996</v>
      </c>
      <c r="L104">
        <v>4.8999999999999998E-3</v>
      </c>
      <c r="M104">
        <v>0.37069999999999997</v>
      </c>
    </row>
    <row r="105" spans="1:13">
      <c r="A105" t="s">
        <v>514</v>
      </c>
      <c r="B105" t="s">
        <v>513</v>
      </c>
      <c r="C105" t="s">
        <v>742</v>
      </c>
      <c r="D105" t="s">
        <v>133</v>
      </c>
      <c r="E105" t="s">
        <v>835</v>
      </c>
      <c r="F105" t="s">
        <v>28</v>
      </c>
      <c r="G105">
        <v>0.74129999999999996</v>
      </c>
      <c r="H105" t="s">
        <v>133</v>
      </c>
      <c r="I105">
        <v>0.75080000000000002</v>
      </c>
      <c r="J105">
        <v>65</v>
      </c>
      <c r="K105">
        <v>0.75080000000000002</v>
      </c>
      <c r="L105">
        <v>2.0999999999999999E-3</v>
      </c>
      <c r="M105">
        <v>0.36969999999999997</v>
      </c>
    </row>
    <row r="106" spans="1:13">
      <c r="A106" t="s">
        <v>515</v>
      </c>
      <c r="B106" t="s">
        <v>514</v>
      </c>
      <c r="C106" t="s">
        <v>759</v>
      </c>
      <c r="D106" t="s">
        <v>92</v>
      </c>
      <c r="E106" t="s">
        <v>835</v>
      </c>
      <c r="F106" t="s">
        <v>28</v>
      </c>
      <c r="G106">
        <v>0.74199999999999999</v>
      </c>
      <c r="H106" t="s">
        <v>92</v>
      </c>
      <c r="I106">
        <v>0.74909999999999999</v>
      </c>
      <c r="J106">
        <v>64</v>
      </c>
      <c r="K106">
        <v>0.74909999999999999</v>
      </c>
      <c r="L106">
        <v>3.2000000000000002E-3</v>
      </c>
      <c r="M106">
        <v>0.36520000000000002</v>
      </c>
    </row>
    <row r="107" spans="1:13">
      <c r="A107" t="s">
        <v>516</v>
      </c>
      <c r="B107" t="s">
        <v>515</v>
      </c>
      <c r="C107" t="s">
        <v>757</v>
      </c>
      <c r="D107" t="s">
        <v>21</v>
      </c>
      <c r="E107" t="s">
        <v>835</v>
      </c>
      <c r="F107" t="s">
        <v>28</v>
      </c>
      <c r="G107">
        <v>0.74329999999999996</v>
      </c>
      <c r="H107" t="s">
        <v>21</v>
      </c>
      <c r="I107">
        <v>0.751</v>
      </c>
      <c r="J107">
        <v>63</v>
      </c>
      <c r="K107">
        <v>0.751</v>
      </c>
      <c r="L107">
        <v>3.5000000000000001E-3</v>
      </c>
      <c r="M107">
        <v>0.36880000000000002</v>
      </c>
    </row>
    <row r="108" spans="1:13">
      <c r="A108" t="s">
        <v>517</v>
      </c>
      <c r="B108" t="s">
        <v>516</v>
      </c>
      <c r="C108" t="s">
        <v>750</v>
      </c>
      <c r="D108" t="s">
        <v>322</v>
      </c>
      <c r="E108" t="s">
        <v>835</v>
      </c>
      <c r="F108" t="s">
        <v>28</v>
      </c>
      <c r="G108">
        <v>0.74470000000000003</v>
      </c>
      <c r="H108" t="s">
        <v>322</v>
      </c>
      <c r="I108">
        <v>0.75219999999999998</v>
      </c>
      <c r="J108">
        <v>62</v>
      </c>
      <c r="K108">
        <v>0.75180000000000002</v>
      </c>
      <c r="L108">
        <v>3.8999999999999998E-3</v>
      </c>
      <c r="M108">
        <v>0.372</v>
      </c>
    </row>
    <row r="109" spans="1:13">
      <c r="A109" t="s">
        <v>518</v>
      </c>
      <c r="B109" t="s">
        <v>517</v>
      </c>
      <c r="C109" t="s">
        <v>765</v>
      </c>
      <c r="D109" t="s">
        <v>53</v>
      </c>
      <c r="E109" t="s">
        <v>835</v>
      </c>
      <c r="F109" t="s">
        <v>28</v>
      </c>
      <c r="G109">
        <v>0.74309999999999998</v>
      </c>
      <c r="H109" t="s">
        <v>53</v>
      </c>
      <c r="I109">
        <v>0.75009999999999999</v>
      </c>
      <c r="J109">
        <v>61</v>
      </c>
      <c r="K109">
        <v>0.75009999999999999</v>
      </c>
      <c r="L109">
        <v>4.7000000000000002E-3</v>
      </c>
      <c r="M109">
        <v>0.3705</v>
      </c>
    </row>
    <row r="110" spans="1:13">
      <c r="A110" t="s">
        <v>519</v>
      </c>
      <c r="B110" t="s">
        <v>518</v>
      </c>
      <c r="C110" t="s">
        <v>766</v>
      </c>
      <c r="D110" t="s">
        <v>232</v>
      </c>
      <c r="E110" t="s">
        <v>835</v>
      </c>
      <c r="F110" t="s">
        <v>28</v>
      </c>
      <c r="G110">
        <v>0.74470000000000003</v>
      </c>
      <c r="H110" t="s">
        <v>232</v>
      </c>
      <c r="I110">
        <v>0.752</v>
      </c>
      <c r="J110">
        <v>60</v>
      </c>
      <c r="K110">
        <v>0.75129999999999997</v>
      </c>
      <c r="L110">
        <v>4.3E-3</v>
      </c>
      <c r="M110">
        <v>0.36980000000000002</v>
      </c>
    </row>
    <row r="111" spans="1:13">
      <c r="A111" t="s">
        <v>520</v>
      </c>
      <c r="B111" t="s">
        <v>519</v>
      </c>
      <c r="C111" t="s">
        <v>762</v>
      </c>
      <c r="D111" t="s">
        <v>143</v>
      </c>
      <c r="E111" t="s">
        <v>835</v>
      </c>
      <c r="F111" t="s">
        <v>28</v>
      </c>
      <c r="G111">
        <v>0.74250000000000005</v>
      </c>
      <c r="H111" t="s">
        <v>143</v>
      </c>
      <c r="I111">
        <v>0.75149999999999995</v>
      </c>
      <c r="J111">
        <v>59</v>
      </c>
      <c r="K111">
        <v>0.75149999999999995</v>
      </c>
      <c r="L111">
        <v>3.7000000000000002E-3</v>
      </c>
      <c r="M111">
        <v>0.36940000000000001</v>
      </c>
    </row>
    <row r="112" spans="1:13">
      <c r="A112" t="s">
        <v>600</v>
      </c>
      <c r="B112" t="s">
        <v>520</v>
      </c>
      <c r="C112" t="s">
        <v>764</v>
      </c>
      <c r="D112" t="s">
        <v>231</v>
      </c>
      <c r="E112" t="s">
        <v>835</v>
      </c>
      <c r="F112" t="s">
        <v>28</v>
      </c>
      <c r="G112">
        <v>0.74360000000000004</v>
      </c>
      <c r="H112" t="s">
        <v>231</v>
      </c>
      <c r="I112">
        <v>0.752</v>
      </c>
      <c r="J112">
        <v>58</v>
      </c>
      <c r="K112">
        <v>0.752</v>
      </c>
      <c r="L112">
        <v>4.7999999999999996E-3</v>
      </c>
      <c r="M112">
        <v>0.37459999999999999</v>
      </c>
    </row>
    <row r="113" spans="1:13">
      <c r="A113" t="s">
        <v>601</v>
      </c>
      <c r="B113" t="s">
        <v>600</v>
      </c>
      <c r="C113" t="s">
        <v>768</v>
      </c>
      <c r="D113" t="s">
        <v>81</v>
      </c>
      <c r="E113" t="s">
        <v>835</v>
      </c>
      <c r="F113" t="s">
        <v>28</v>
      </c>
      <c r="G113">
        <v>0.7429</v>
      </c>
      <c r="H113" t="s">
        <v>81</v>
      </c>
      <c r="I113">
        <v>0.75160000000000005</v>
      </c>
      <c r="J113">
        <v>57</v>
      </c>
      <c r="K113">
        <v>0.75160000000000005</v>
      </c>
      <c r="L113">
        <v>5.3E-3</v>
      </c>
      <c r="M113">
        <v>0.36870000000000003</v>
      </c>
    </row>
    <row r="114" spans="1:13">
      <c r="A114" t="s">
        <v>602</v>
      </c>
      <c r="B114" t="s">
        <v>601</v>
      </c>
      <c r="C114" t="s">
        <v>772</v>
      </c>
      <c r="D114" t="s">
        <v>128</v>
      </c>
      <c r="E114" t="s">
        <v>835</v>
      </c>
      <c r="F114" t="s">
        <v>28</v>
      </c>
      <c r="G114">
        <v>0.74480000000000002</v>
      </c>
      <c r="H114" t="s">
        <v>128</v>
      </c>
      <c r="I114">
        <v>0.75049999999999994</v>
      </c>
      <c r="J114">
        <v>56</v>
      </c>
      <c r="K114">
        <v>0.75049999999999994</v>
      </c>
      <c r="L114">
        <v>5.0000000000000001E-3</v>
      </c>
      <c r="M114">
        <v>0.36840000000000001</v>
      </c>
    </row>
    <row r="115" spans="1:13">
      <c r="A115" t="s">
        <v>603</v>
      </c>
      <c r="B115" t="s">
        <v>602</v>
      </c>
      <c r="C115" t="s">
        <v>773</v>
      </c>
      <c r="D115" t="s">
        <v>200</v>
      </c>
      <c r="E115" t="s">
        <v>835</v>
      </c>
      <c r="F115" t="s">
        <v>28</v>
      </c>
      <c r="G115">
        <v>0.74690000000000001</v>
      </c>
      <c r="H115" t="s">
        <v>200</v>
      </c>
      <c r="I115">
        <v>0.75180000000000002</v>
      </c>
      <c r="J115">
        <v>55</v>
      </c>
      <c r="K115">
        <v>0.75139999999999996</v>
      </c>
      <c r="L115">
        <v>4.1999999999999997E-3</v>
      </c>
      <c r="M115">
        <v>0.37240000000000001</v>
      </c>
    </row>
    <row r="116" spans="1:13">
      <c r="A116" t="s">
        <v>604</v>
      </c>
      <c r="B116" t="s">
        <v>603</v>
      </c>
      <c r="C116" t="s">
        <v>770</v>
      </c>
      <c r="D116" t="s">
        <v>245</v>
      </c>
      <c r="E116" t="s">
        <v>835</v>
      </c>
      <c r="F116" t="s">
        <v>28</v>
      </c>
      <c r="G116">
        <v>0.74570000000000003</v>
      </c>
      <c r="H116" t="s">
        <v>245</v>
      </c>
      <c r="I116">
        <v>0.75209999999999999</v>
      </c>
      <c r="J116">
        <v>54</v>
      </c>
      <c r="K116">
        <v>0.75209999999999999</v>
      </c>
      <c r="L116">
        <v>5.3E-3</v>
      </c>
      <c r="M116">
        <v>0.37040000000000001</v>
      </c>
    </row>
    <row r="117" spans="1:13">
      <c r="A117" t="s">
        <v>605</v>
      </c>
      <c r="B117" t="s">
        <v>604</v>
      </c>
      <c r="C117" t="s">
        <v>763</v>
      </c>
      <c r="D117" t="s">
        <v>160</v>
      </c>
      <c r="E117" t="s">
        <v>835</v>
      </c>
      <c r="F117" t="s">
        <v>28</v>
      </c>
      <c r="G117">
        <v>0.74370000000000003</v>
      </c>
      <c r="H117" t="s">
        <v>160</v>
      </c>
      <c r="I117">
        <v>0.75149999999999995</v>
      </c>
      <c r="J117">
        <v>53</v>
      </c>
      <c r="K117">
        <v>0.75149999999999995</v>
      </c>
      <c r="L117">
        <v>4.4999999999999997E-3</v>
      </c>
      <c r="M117">
        <v>0.36909999999999998</v>
      </c>
    </row>
    <row r="118" spans="1:13">
      <c r="A118" t="s">
        <v>606</v>
      </c>
      <c r="B118" t="s">
        <v>605</v>
      </c>
      <c r="C118" t="s">
        <v>775</v>
      </c>
      <c r="D118" t="s">
        <v>20</v>
      </c>
      <c r="E118" t="s">
        <v>835</v>
      </c>
      <c r="F118" t="s">
        <v>28</v>
      </c>
      <c r="G118">
        <v>0.74550000000000005</v>
      </c>
      <c r="H118" t="s">
        <v>20</v>
      </c>
      <c r="I118">
        <v>0.75290000000000001</v>
      </c>
      <c r="J118">
        <v>52</v>
      </c>
      <c r="K118">
        <v>0.753</v>
      </c>
      <c r="L118">
        <v>4.1999999999999997E-3</v>
      </c>
      <c r="M118">
        <v>0.37309999999999999</v>
      </c>
    </row>
    <row r="119" spans="1:13">
      <c r="A119" t="s">
        <v>607</v>
      </c>
      <c r="B119" t="s">
        <v>606</v>
      </c>
      <c r="C119" t="s">
        <v>771</v>
      </c>
      <c r="D119" t="s">
        <v>132</v>
      </c>
      <c r="E119" t="s">
        <v>835</v>
      </c>
      <c r="F119" t="s">
        <v>28</v>
      </c>
      <c r="G119">
        <v>0.74470000000000003</v>
      </c>
      <c r="H119" t="s">
        <v>132</v>
      </c>
      <c r="I119">
        <v>0.75229999999999997</v>
      </c>
      <c r="J119">
        <v>51</v>
      </c>
      <c r="K119">
        <v>0.75229999999999997</v>
      </c>
      <c r="L119">
        <v>3.3999999999999998E-3</v>
      </c>
      <c r="M119">
        <v>0.36849999999999999</v>
      </c>
    </row>
    <row r="120" spans="1:13">
      <c r="A120" t="s">
        <v>608</v>
      </c>
      <c r="B120" t="s">
        <v>607</v>
      </c>
      <c r="C120" t="s">
        <v>776</v>
      </c>
      <c r="D120" t="s">
        <v>13</v>
      </c>
      <c r="E120" t="s">
        <v>835</v>
      </c>
      <c r="F120" t="s">
        <v>28</v>
      </c>
      <c r="G120">
        <v>0.74529999999999996</v>
      </c>
      <c r="H120" t="s">
        <v>13</v>
      </c>
      <c r="I120">
        <v>0.75090000000000001</v>
      </c>
      <c r="J120">
        <v>50</v>
      </c>
      <c r="K120">
        <v>0.75090000000000001</v>
      </c>
      <c r="L120">
        <v>4.1999999999999997E-3</v>
      </c>
      <c r="M120">
        <v>0.37140000000000001</v>
      </c>
    </row>
    <row r="121" spans="1:13">
      <c r="A121" t="s">
        <v>609</v>
      </c>
      <c r="B121" t="s">
        <v>608</v>
      </c>
      <c r="C121" t="s">
        <v>774</v>
      </c>
      <c r="D121" t="s">
        <v>167</v>
      </c>
      <c r="E121" t="s">
        <v>835</v>
      </c>
      <c r="F121" t="s">
        <v>28</v>
      </c>
      <c r="G121">
        <v>0.74329999999999996</v>
      </c>
      <c r="H121" t="s">
        <v>167</v>
      </c>
      <c r="I121">
        <v>0.75119999999999998</v>
      </c>
      <c r="J121">
        <v>49</v>
      </c>
      <c r="K121">
        <v>0.75119999999999998</v>
      </c>
      <c r="L121">
        <v>4.3E-3</v>
      </c>
      <c r="M121">
        <v>0.36930000000000002</v>
      </c>
    </row>
    <row r="122" spans="1:13">
      <c r="A122" t="s">
        <v>610</v>
      </c>
      <c r="B122" t="s">
        <v>609</v>
      </c>
      <c r="C122" t="s">
        <v>822</v>
      </c>
      <c r="D122" t="s">
        <v>28</v>
      </c>
      <c r="E122" t="s">
        <v>837</v>
      </c>
      <c r="F122" t="s">
        <v>28</v>
      </c>
      <c r="G122">
        <v>0.74299999999999999</v>
      </c>
      <c r="H122" t="s">
        <v>114</v>
      </c>
      <c r="I122">
        <v>0.74239999999999995</v>
      </c>
      <c r="J122">
        <v>48</v>
      </c>
      <c r="K122">
        <v>0.74299999999999999</v>
      </c>
      <c r="L122">
        <v>4.1000000000000003E-3</v>
      </c>
      <c r="M122">
        <v>0.3634</v>
      </c>
    </row>
    <row r="123" spans="1:13">
      <c r="A123" t="s">
        <v>611</v>
      </c>
      <c r="B123" t="s">
        <v>610</v>
      </c>
      <c r="C123" t="s">
        <v>689</v>
      </c>
      <c r="D123" t="s">
        <v>198</v>
      </c>
      <c r="E123" t="s">
        <v>837</v>
      </c>
      <c r="F123" t="s">
        <v>198</v>
      </c>
      <c r="G123">
        <v>0.74419999999999997</v>
      </c>
      <c r="H123" t="s">
        <v>114</v>
      </c>
      <c r="I123">
        <v>0.73319999999999996</v>
      </c>
      <c r="J123">
        <v>47</v>
      </c>
      <c r="K123">
        <v>0.74419999999999997</v>
      </c>
      <c r="L123">
        <v>4.7000000000000002E-3</v>
      </c>
      <c r="M123">
        <v>0.36280000000000001</v>
      </c>
    </row>
    <row r="124" spans="1:13">
      <c r="A124" t="s">
        <v>612</v>
      </c>
      <c r="B124" t="s">
        <v>611</v>
      </c>
      <c r="C124" t="s">
        <v>786</v>
      </c>
      <c r="D124" t="s">
        <v>214</v>
      </c>
      <c r="E124" t="s">
        <v>835</v>
      </c>
      <c r="F124" t="s">
        <v>30</v>
      </c>
      <c r="G124">
        <v>0.72399999999999998</v>
      </c>
      <c r="H124" t="s">
        <v>214</v>
      </c>
      <c r="I124">
        <v>0.74270000000000003</v>
      </c>
      <c r="J124">
        <v>46</v>
      </c>
      <c r="K124">
        <v>0.74319999999999997</v>
      </c>
      <c r="L124">
        <v>5.7000000000000002E-3</v>
      </c>
      <c r="M124">
        <v>0.3629</v>
      </c>
    </row>
    <row r="125" spans="1:13">
      <c r="A125" t="s">
        <v>613</v>
      </c>
      <c r="B125" t="s">
        <v>612</v>
      </c>
      <c r="C125" t="s">
        <v>777</v>
      </c>
      <c r="D125" t="s">
        <v>126</v>
      </c>
      <c r="E125" t="s">
        <v>835</v>
      </c>
      <c r="F125" t="s">
        <v>30</v>
      </c>
      <c r="G125">
        <v>0.72499999999999998</v>
      </c>
      <c r="H125" t="s">
        <v>126</v>
      </c>
      <c r="I125">
        <v>0.74319999999999997</v>
      </c>
      <c r="J125">
        <v>45</v>
      </c>
      <c r="K125">
        <v>0.74319999999999997</v>
      </c>
      <c r="L125">
        <v>5.4000000000000003E-3</v>
      </c>
      <c r="M125">
        <v>0.3624</v>
      </c>
    </row>
    <row r="126" spans="1:13">
      <c r="A126" t="s">
        <v>614</v>
      </c>
      <c r="B126" t="s">
        <v>613</v>
      </c>
      <c r="C126" t="s">
        <v>779</v>
      </c>
      <c r="D126" t="s">
        <v>114</v>
      </c>
      <c r="E126" t="s">
        <v>835</v>
      </c>
      <c r="F126" t="s">
        <v>30</v>
      </c>
      <c r="G126">
        <v>0.72550000000000003</v>
      </c>
      <c r="H126" t="s">
        <v>114</v>
      </c>
      <c r="I126">
        <v>0.73080000000000001</v>
      </c>
      <c r="J126">
        <v>44</v>
      </c>
      <c r="K126">
        <v>0.73080000000000001</v>
      </c>
      <c r="L126">
        <v>6.0000000000000001E-3</v>
      </c>
      <c r="M126">
        <v>0.34</v>
      </c>
    </row>
    <row r="127" spans="1:13">
      <c r="A127" t="s">
        <v>615</v>
      </c>
      <c r="B127" t="s">
        <v>614</v>
      </c>
      <c r="C127" t="s">
        <v>778</v>
      </c>
      <c r="D127" t="s">
        <v>267</v>
      </c>
      <c r="E127" t="s">
        <v>835</v>
      </c>
      <c r="F127" t="s">
        <v>30</v>
      </c>
      <c r="G127">
        <v>0.71220000000000006</v>
      </c>
      <c r="H127" t="s">
        <v>267</v>
      </c>
      <c r="I127">
        <v>0.73199999999999998</v>
      </c>
      <c r="J127">
        <v>43</v>
      </c>
      <c r="K127">
        <v>0.73199999999999998</v>
      </c>
      <c r="L127">
        <v>3.8E-3</v>
      </c>
      <c r="M127">
        <v>0.33550000000000002</v>
      </c>
    </row>
    <row r="128" spans="1:13">
      <c r="A128" t="s">
        <v>616</v>
      </c>
      <c r="B128" t="s">
        <v>615</v>
      </c>
      <c r="C128" t="s">
        <v>782</v>
      </c>
      <c r="D128" t="s">
        <v>266</v>
      </c>
      <c r="E128" t="s">
        <v>835</v>
      </c>
      <c r="F128" t="s">
        <v>30</v>
      </c>
      <c r="G128">
        <v>0.7147</v>
      </c>
      <c r="H128" t="s">
        <v>266</v>
      </c>
      <c r="I128">
        <v>0.7339</v>
      </c>
      <c r="J128">
        <v>42</v>
      </c>
      <c r="K128">
        <v>0.7339</v>
      </c>
      <c r="L128">
        <v>3.8E-3</v>
      </c>
      <c r="M128">
        <v>0.34150000000000003</v>
      </c>
    </row>
    <row r="129" spans="1:13">
      <c r="A129" t="s">
        <v>617</v>
      </c>
      <c r="B129" t="s">
        <v>616</v>
      </c>
      <c r="C129" t="s">
        <v>780</v>
      </c>
      <c r="D129" t="s">
        <v>262</v>
      </c>
      <c r="E129" t="s">
        <v>835</v>
      </c>
      <c r="F129" t="s">
        <v>30</v>
      </c>
      <c r="G129">
        <v>0.71579999999999999</v>
      </c>
      <c r="H129" t="s">
        <v>262</v>
      </c>
      <c r="I129">
        <v>0.73340000000000005</v>
      </c>
      <c r="J129">
        <v>41</v>
      </c>
      <c r="K129">
        <v>0.73329999999999995</v>
      </c>
      <c r="L129">
        <v>4.4000000000000003E-3</v>
      </c>
      <c r="M129">
        <v>0.33950000000000002</v>
      </c>
    </row>
    <row r="130" spans="1:13">
      <c r="A130" t="s">
        <v>618</v>
      </c>
      <c r="B130" t="s">
        <v>617</v>
      </c>
      <c r="C130" t="s">
        <v>781</v>
      </c>
      <c r="D130" t="s">
        <v>165</v>
      </c>
      <c r="E130" t="s">
        <v>835</v>
      </c>
      <c r="F130" t="s">
        <v>30</v>
      </c>
      <c r="G130">
        <v>0.71519999999999995</v>
      </c>
      <c r="H130" t="s">
        <v>165</v>
      </c>
      <c r="I130">
        <v>0.73440000000000005</v>
      </c>
      <c r="J130">
        <v>40</v>
      </c>
      <c r="K130">
        <v>0.73440000000000005</v>
      </c>
      <c r="L130">
        <v>3.8E-3</v>
      </c>
      <c r="M130">
        <v>0.33850000000000002</v>
      </c>
    </row>
    <row r="131" spans="1:13">
      <c r="A131" t="s">
        <v>619</v>
      </c>
      <c r="B131" t="s">
        <v>618</v>
      </c>
      <c r="C131" t="s">
        <v>783</v>
      </c>
      <c r="D131" t="s">
        <v>127</v>
      </c>
      <c r="E131" t="s">
        <v>835</v>
      </c>
      <c r="F131" t="s">
        <v>30</v>
      </c>
      <c r="G131">
        <v>0.71440000000000003</v>
      </c>
      <c r="H131" t="s">
        <v>127</v>
      </c>
      <c r="I131">
        <v>0.73350000000000004</v>
      </c>
      <c r="J131">
        <v>39</v>
      </c>
      <c r="K131">
        <v>0.73350000000000004</v>
      </c>
      <c r="L131">
        <v>3.7000000000000002E-3</v>
      </c>
      <c r="M131">
        <v>0.33589999999999998</v>
      </c>
    </row>
    <row r="132" spans="1:13">
      <c r="A132" t="s">
        <v>620</v>
      </c>
      <c r="B132" t="s">
        <v>619</v>
      </c>
      <c r="C132" t="s">
        <v>784</v>
      </c>
      <c r="D132" t="s">
        <v>134</v>
      </c>
      <c r="E132" t="s">
        <v>835</v>
      </c>
      <c r="F132" t="s">
        <v>30</v>
      </c>
      <c r="G132">
        <v>0.71479999999999999</v>
      </c>
      <c r="H132" t="s">
        <v>134</v>
      </c>
      <c r="I132">
        <v>0.73529999999999995</v>
      </c>
      <c r="J132">
        <v>38</v>
      </c>
      <c r="K132">
        <v>0.73529999999999995</v>
      </c>
      <c r="L132">
        <v>3.5000000000000001E-3</v>
      </c>
      <c r="M132">
        <v>0.34100000000000003</v>
      </c>
    </row>
    <row r="133" spans="1:13">
      <c r="A133" t="s">
        <v>621</v>
      </c>
      <c r="B133" t="s">
        <v>620</v>
      </c>
      <c r="C133" t="s">
        <v>785</v>
      </c>
      <c r="D133" t="s">
        <v>67</v>
      </c>
      <c r="E133" t="s">
        <v>835</v>
      </c>
      <c r="F133" t="s">
        <v>30</v>
      </c>
      <c r="G133">
        <v>0.7147</v>
      </c>
      <c r="H133" t="s">
        <v>67</v>
      </c>
      <c r="I133">
        <v>0.73709999999999998</v>
      </c>
      <c r="J133">
        <v>37</v>
      </c>
      <c r="K133">
        <v>0.73709999999999998</v>
      </c>
      <c r="L133">
        <v>3.5999999999999999E-3</v>
      </c>
      <c r="M133">
        <v>0.34029999999999999</v>
      </c>
    </row>
    <row r="134" spans="1:13">
      <c r="A134" t="s">
        <v>622</v>
      </c>
      <c r="B134" t="s">
        <v>621</v>
      </c>
      <c r="C134" t="s">
        <v>787</v>
      </c>
      <c r="D134" t="s">
        <v>177</v>
      </c>
      <c r="E134" t="s">
        <v>835</v>
      </c>
      <c r="F134" t="s">
        <v>30</v>
      </c>
      <c r="G134">
        <v>0.71650000000000003</v>
      </c>
      <c r="H134" t="s">
        <v>177</v>
      </c>
      <c r="I134">
        <v>0.73650000000000004</v>
      </c>
      <c r="J134">
        <v>36</v>
      </c>
      <c r="K134">
        <v>0.73650000000000004</v>
      </c>
      <c r="L134">
        <v>3.8E-3</v>
      </c>
      <c r="M134">
        <v>0.33850000000000002</v>
      </c>
    </row>
    <row r="135" spans="1:13">
      <c r="A135" t="s">
        <v>623</v>
      </c>
      <c r="B135" t="s">
        <v>622</v>
      </c>
      <c r="C135" t="s">
        <v>788</v>
      </c>
      <c r="D135" t="s">
        <v>159</v>
      </c>
      <c r="E135" t="s">
        <v>835</v>
      </c>
      <c r="F135" t="s">
        <v>30</v>
      </c>
      <c r="G135">
        <v>0.71509999999999996</v>
      </c>
      <c r="H135" t="s">
        <v>159</v>
      </c>
      <c r="I135">
        <v>0.73719999999999997</v>
      </c>
      <c r="J135">
        <v>35</v>
      </c>
      <c r="K135">
        <v>0.73719999999999997</v>
      </c>
      <c r="L135">
        <v>5.1999999999999998E-3</v>
      </c>
      <c r="M135">
        <v>0.3377</v>
      </c>
    </row>
    <row r="136" spans="1:13">
      <c r="A136" t="s">
        <v>624</v>
      </c>
      <c r="B136" t="s">
        <v>623</v>
      </c>
      <c r="C136" t="s">
        <v>790</v>
      </c>
      <c r="D136" t="s">
        <v>46</v>
      </c>
      <c r="E136" t="s">
        <v>835</v>
      </c>
      <c r="F136" t="s">
        <v>30</v>
      </c>
      <c r="G136">
        <v>0.71789999999999998</v>
      </c>
      <c r="H136" t="s">
        <v>46</v>
      </c>
      <c r="I136">
        <v>0.73750000000000004</v>
      </c>
      <c r="J136">
        <v>34</v>
      </c>
      <c r="K136">
        <v>0.73680000000000001</v>
      </c>
      <c r="L136">
        <v>3.3E-3</v>
      </c>
      <c r="M136">
        <v>0.33660000000000001</v>
      </c>
    </row>
    <row r="137" spans="1:13">
      <c r="A137" t="s">
        <v>625</v>
      </c>
      <c r="B137" t="s">
        <v>624</v>
      </c>
      <c r="C137" t="s">
        <v>789</v>
      </c>
      <c r="D137" t="s">
        <v>307</v>
      </c>
      <c r="E137" t="s">
        <v>835</v>
      </c>
      <c r="F137" t="s">
        <v>30</v>
      </c>
      <c r="G137">
        <v>0.71950000000000003</v>
      </c>
      <c r="H137" t="s">
        <v>307</v>
      </c>
      <c r="I137">
        <v>0.73819999999999997</v>
      </c>
      <c r="J137">
        <v>33</v>
      </c>
      <c r="K137">
        <v>0.73819999999999997</v>
      </c>
      <c r="L137">
        <v>4.0000000000000001E-3</v>
      </c>
      <c r="M137">
        <v>0.33360000000000001</v>
      </c>
    </row>
    <row r="138" spans="1:13">
      <c r="A138" t="s">
        <v>626</v>
      </c>
      <c r="B138" t="s">
        <v>625</v>
      </c>
      <c r="C138" t="s">
        <v>791</v>
      </c>
      <c r="D138" t="s">
        <v>156</v>
      </c>
      <c r="E138" t="s">
        <v>835</v>
      </c>
      <c r="F138" t="s">
        <v>30</v>
      </c>
      <c r="G138">
        <v>0.72019999999999995</v>
      </c>
      <c r="H138" t="s">
        <v>156</v>
      </c>
      <c r="I138">
        <v>0.73809999999999998</v>
      </c>
      <c r="J138">
        <v>32</v>
      </c>
      <c r="K138">
        <v>0.73809999999999998</v>
      </c>
      <c r="L138">
        <v>2E-3</v>
      </c>
      <c r="M138">
        <v>0.33529999999999999</v>
      </c>
    </row>
    <row r="139" spans="1:13">
      <c r="A139" t="s">
        <v>627</v>
      </c>
      <c r="B139" t="s">
        <v>626</v>
      </c>
      <c r="C139" t="s">
        <v>794</v>
      </c>
      <c r="D139" t="s">
        <v>135</v>
      </c>
      <c r="E139" t="s">
        <v>835</v>
      </c>
      <c r="F139" t="s">
        <v>30</v>
      </c>
      <c r="G139">
        <v>0.71850000000000003</v>
      </c>
      <c r="H139" t="s">
        <v>135</v>
      </c>
      <c r="I139">
        <v>0.7389</v>
      </c>
      <c r="J139">
        <v>31</v>
      </c>
      <c r="K139">
        <v>0.7389</v>
      </c>
      <c r="L139">
        <v>1.6999999999999999E-3</v>
      </c>
      <c r="M139">
        <v>0.33169999999999999</v>
      </c>
    </row>
    <row r="140" spans="1:13">
      <c r="A140" t="s">
        <v>628</v>
      </c>
      <c r="B140" t="s">
        <v>627</v>
      </c>
      <c r="C140" t="s">
        <v>795</v>
      </c>
      <c r="D140" t="s">
        <v>244</v>
      </c>
      <c r="E140" t="s">
        <v>835</v>
      </c>
      <c r="F140" t="s">
        <v>30</v>
      </c>
      <c r="G140">
        <v>0.71860000000000002</v>
      </c>
      <c r="H140" t="s">
        <v>244</v>
      </c>
      <c r="I140">
        <v>0.73740000000000006</v>
      </c>
      <c r="J140">
        <v>30</v>
      </c>
      <c r="K140">
        <v>0.73740000000000006</v>
      </c>
      <c r="L140">
        <v>2.8E-3</v>
      </c>
      <c r="M140">
        <v>0.3337</v>
      </c>
    </row>
    <row r="141" spans="1:13">
      <c r="A141" t="s">
        <v>629</v>
      </c>
      <c r="B141" t="s">
        <v>628</v>
      </c>
      <c r="C141" t="s">
        <v>792</v>
      </c>
      <c r="D141" t="s">
        <v>253</v>
      </c>
      <c r="E141" t="s">
        <v>835</v>
      </c>
      <c r="F141" t="s">
        <v>30</v>
      </c>
      <c r="G141">
        <v>0.71830000000000005</v>
      </c>
      <c r="H141" t="s">
        <v>253</v>
      </c>
      <c r="I141">
        <v>0.73829999999999996</v>
      </c>
      <c r="J141">
        <v>29</v>
      </c>
      <c r="K141">
        <v>0.73829999999999996</v>
      </c>
      <c r="L141">
        <v>3.8999999999999998E-3</v>
      </c>
      <c r="M141">
        <v>0.33300000000000002</v>
      </c>
    </row>
    <row r="142" spans="1:13">
      <c r="A142" t="s">
        <v>630</v>
      </c>
      <c r="B142" t="s">
        <v>629</v>
      </c>
      <c r="C142" t="s">
        <v>803</v>
      </c>
      <c r="D142" t="s">
        <v>330</v>
      </c>
      <c r="E142" t="s">
        <v>835</v>
      </c>
      <c r="F142" t="s">
        <v>30</v>
      </c>
      <c r="G142">
        <v>0.71850000000000003</v>
      </c>
      <c r="H142" t="s">
        <v>330</v>
      </c>
      <c r="I142">
        <v>0.73860000000000003</v>
      </c>
      <c r="J142">
        <v>28</v>
      </c>
      <c r="K142">
        <v>0.73860000000000003</v>
      </c>
      <c r="L142">
        <v>2.8999999999999998E-3</v>
      </c>
      <c r="M142">
        <v>0.33100000000000002</v>
      </c>
    </row>
    <row r="143" spans="1:13">
      <c r="A143" t="s">
        <v>631</v>
      </c>
      <c r="B143" t="s">
        <v>630</v>
      </c>
      <c r="C143" t="s">
        <v>793</v>
      </c>
      <c r="D143" t="s">
        <v>337</v>
      </c>
      <c r="E143" t="s">
        <v>835</v>
      </c>
      <c r="F143" t="s">
        <v>30</v>
      </c>
      <c r="G143">
        <v>0.7177</v>
      </c>
      <c r="H143" t="s">
        <v>337</v>
      </c>
      <c r="I143">
        <v>0.73680000000000001</v>
      </c>
      <c r="J143">
        <v>27</v>
      </c>
      <c r="K143">
        <v>0.73680000000000001</v>
      </c>
      <c r="L143">
        <v>3.2000000000000002E-3</v>
      </c>
      <c r="M143">
        <v>0.32500000000000001</v>
      </c>
    </row>
    <row r="144" spans="1:13">
      <c r="A144" t="s">
        <v>632</v>
      </c>
      <c r="B144" t="s">
        <v>631</v>
      </c>
      <c r="C144" t="s">
        <v>805</v>
      </c>
      <c r="D144" t="s">
        <v>222</v>
      </c>
      <c r="E144" t="s">
        <v>835</v>
      </c>
      <c r="F144" t="s">
        <v>30</v>
      </c>
      <c r="G144">
        <v>0.71460000000000001</v>
      </c>
      <c r="H144" t="s">
        <v>222</v>
      </c>
      <c r="I144">
        <v>0.7359</v>
      </c>
      <c r="J144">
        <v>26</v>
      </c>
      <c r="K144">
        <v>0.7359</v>
      </c>
      <c r="L144">
        <v>1.8E-3</v>
      </c>
      <c r="M144">
        <v>0.32740000000000002</v>
      </c>
    </row>
    <row r="145" spans="1:13">
      <c r="A145" t="s">
        <v>633</v>
      </c>
      <c r="B145" t="s">
        <v>632</v>
      </c>
      <c r="C145" t="s">
        <v>797</v>
      </c>
      <c r="D145" t="s">
        <v>207</v>
      </c>
      <c r="E145" t="s">
        <v>835</v>
      </c>
      <c r="F145" t="s">
        <v>30</v>
      </c>
      <c r="G145">
        <v>0.71230000000000004</v>
      </c>
      <c r="H145" t="s">
        <v>207</v>
      </c>
      <c r="I145">
        <v>0.7349</v>
      </c>
      <c r="J145">
        <v>25</v>
      </c>
      <c r="K145">
        <v>0.7349</v>
      </c>
      <c r="L145">
        <v>3.2000000000000002E-3</v>
      </c>
      <c r="M145">
        <v>0.3286</v>
      </c>
    </row>
    <row r="146" spans="1:13">
      <c r="A146" t="s">
        <v>634</v>
      </c>
      <c r="B146" t="s">
        <v>633</v>
      </c>
      <c r="C146" t="s">
        <v>796</v>
      </c>
      <c r="D146" t="s">
        <v>249</v>
      </c>
      <c r="E146" t="s">
        <v>835</v>
      </c>
      <c r="F146" t="s">
        <v>30</v>
      </c>
      <c r="G146">
        <v>0.71230000000000004</v>
      </c>
      <c r="H146" t="s">
        <v>249</v>
      </c>
      <c r="I146">
        <v>0.73240000000000005</v>
      </c>
      <c r="J146">
        <v>24</v>
      </c>
      <c r="K146">
        <v>0.73240000000000005</v>
      </c>
      <c r="L146">
        <v>4.1000000000000003E-3</v>
      </c>
      <c r="M146">
        <v>0.32690000000000002</v>
      </c>
    </row>
    <row r="147" spans="1:13">
      <c r="A147" t="s">
        <v>635</v>
      </c>
      <c r="B147" t="s">
        <v>634</v>
      </c>
      <c r="C147" t="s">
        <v>804</v>
      </c>
      <c r="D147" t="s">
        <v>248</v>
      </c>
      <c r="E147" t="s">
        <v>835</v>
      </c>
      <c r="F147" t="s">
        <v>30</v>
      </c>
      <c r="G147">
        <v>0.70760000000000001</v>
      </c>
      <c r="H147" t="s">
        <v>248</v>
      </c>
      <c r="I147">
        <v>0.72960000000000003</v>
      </c>
      <c r="J147">
        <v>23</v>
      </c>
      <c r="K147">
        <v>0.72960000000000003</v>
      </c>
      <c r="L147">
        <v>4.0000000000000001E-3</v>
      </c>
      <c r="M147">
        <v>0.32819999999999999</v>
      </c>
    </row>
    <row r="148" spans="1:13">
      <c r="A148" t="s">
        <v>636</v>
      </c>
      <c r="B148" t="s">
        <v>635</v>
      </c>
      <c r="C148" t="s">
        <v>802</v>
      </c>
      <c r="D148" t="s">
        <v>239</v>
      </c>
      <c r="E148" t="s">
        <v>835</v>
      </c>
      <c r="F148" t="s">
        <v>30</v>
      </c>
      <c r="G148">
        <v>0.70789999999999997</v>
      </c>
      <c r="H148" t="s">
        <v>239</v>
      </c>
      <c r="I148">
        <v>0.72989999999999999</v>
      </c>
      <c r="J148">
        <v>22</v>
      </c>
      <c r="K148">
        <v>0.72989999999999999</v>
      </c>
      <c r="L148">
        <v>2.5999999999999999E-3</v>
      </c>
      <c r="M148">
        <v>0.32550000000000001</v>
      </c>
    </row>
    <row r="149" spans="1:13">
      <c r="A149" t="s">
        <v>637</v>
      </c>
      <c r="B149" t="s">
        <v>636</v>
      </c>
      <c r="C149" t="s">
        <v>798</v>
      </c>
      <c r="D149" t="s">
        <v>209</v>
      </c>
      <c r="E149" t="s">
        <v>835</v>
      </c>
      <c r="F149" t="s">
        <v>30</v>
      </c>
      <c r="G149">
        <v>0.7056</v>
      </c>
      <c r="H149" t="s">
        <v>209</v>
      </c>
      <c r="I149">
        <v>0.72960000000000003</v>
      </c>
      <c r="J149">
        <v>21</v>
      </c>
      <c r="K149">
        <v>0.72909999999999997</v>
      </c>
      <c r="L149">
        <v>4.4000000000000003E-3</v>
      </c>
      <c r="M149">
        <v>0.32690000000000002</v>
      </c>
    </row>
    <row r="150" spans="1:13">
      <c r="A150" t="s">
        <v>638</v>
      </c>
      <c r="B150" t="s">
        <v>637</v>
      </c>
      <c r="C150" t="s">
        <v>808</v>
      </c>
      <c r="D150" t="s">
        <v>161</v>
      </c>
      <c r="E150" t="s">
        <v>835</v>
      </c>
      <c r="F150" t="s">
        <v>30</v>
      </c>
      <c r="G150">
        <v>0.70809999999999995</v>
      </c>
      <c r="H150" t="s">
        <v>161</v>
      </c>
      <c r="I150">
        <v>0.72870000000000001</v>
      </c>
      <c r="J150">
        <v>20</v>
      </c>
      <c r="K150">
        <v>0.72870000000000001</v>
      </c>
      <c r="L150">
        <v>2.0999999999999999E-3</v>
      </c>
      <c r="M150">
        <v>0.32700000000000001</v>
      </c>
    </row>
    <row r="151" spans="1:13">
      <c r="A151" t="s">
        <v>639</v>
      </c>
      <c r="B151" t="s">
        <v>638</v>
      </c>
      <c r="C151" t="s">
        <v>800</v>
      </c>
      <c r="D151" t="s">
        <v>36</v>
      </c>
      <c r="E151" t="s">
        <v>835</v>
      </c>
      <c r="F151" t="s">
        <v>30</v>
      </c>
      <c r="G151">
        <v>0.70499999999999996</v>
      </c>
      <c r="H151" t="s">
        <v>36</v>
      </c>
      <c r="I151">
        <v>0.72819999999999996</v>
      </c>
      <c r="J151">
        <v>19</v>
      </c>
      <c r="K151">
        <v>0.72819999999999996</v>
      </c>
      <c r="L151">
        <v>3.0000000000000001E-3</v>
      </c>
      <c r="M151">
        <v>0.32719999999999999</v>
      </c>
    </row>
    <row r="152" spans="1:13">
      <c r="A152" t="s">
        <v>640</v>
      </c>
      <c r="B152" t="s">
        <v>639</v>
      </c>
      <c r="C152" t="s">
        <v>801</v>
      </c>
      <c r="D152" t="s">
        <v>137</v>
      </c>
      <c r="E152" t="s">
        <v>835</v>
      </c>
      <c r="F152" t="s">
        <v>30</v>
      </c>
      <c r="G152">
        <v>0.70579999999999998</v>
      </c>
      <c r="H152" t="s">
        <v>137</v>
      </c>
      <c r="I152">
        <v>0.72840000000000005</v>
      </c>
      <c r="J152">
        <v>18</v>
      </c>
      <c r="K152">
        <v>0.72840000000000005</v>
      </c>
      <c r="L152">
        <v>2.3999999999999998E-3</v>
      </c>
      <c r="M152">
        <v>0.32519999999999999</v>
      </c>
    </row>
    <row r="153" spans="1:13">
      <c r="A153" t="s">
        <v>641</v>
      </c>
      <c r="B153" t="s">
        <v>640</v>
      </c>
      <c r="C153" t="s">
        <v>807</v>
      </c>
      <c r="D153" t="s">
        <v>171</v>
      </c>
      <c r="E153" t="s">
        <v>835</v>
      </c>
      <c r="F153" t="s">
        <v>30</v>
      </c>
      <c r="G153">
        <v>0.70469999999999999</v>
      </c>
      <c r="H153" t="s">
        <v>171</v>
      </c>
      <c r="I153">
        <v>0.72899999999999998</v>
      </c>
      <c r="J153">
        <v>17</v>
      </c>
      <c r="K153">
        <v>0.72899999999999998</v>
      </c>
      <c r="L153">
        <v>2.5999999999999999E-3</v>
      </c>
      <c r="M153">
        <v>0.32579999999999998</v>
      </c>
    </row>
    <row r="154" spans="1:13">
      <c r="A154" t="s">
        <v>642</v>
      </c>
      <c r="B154" t="s">
        <v>641</v>
      </c>
      <c r="C154" t="s">
        <v>799</v>
      </c>
      <c r="D154" t="s">
        <v>184</v>
      </c>
      <c r="E154" t="s">
        <v>835</v>
      </c>
      <c r="F154" t="s">
        <v>30</v>
      </c>
      <c r="G154">
        <v>0.70299999999999996</v>
      </c>
      <c r="H154" t="s">
        <v>184</v>
      </c>
      <c r="I154">
        <v>0.72460000000000002</v>
      </c>
      <c r="J154">
        <v>16</v>
      </c>
      <c r="K154">
        <v>0.72460000000000002</v>
      </c>
      <c r="L154">
        <v>5.0000000000000001E-3</v>
      </c>
      <c r="M154">
        <v>0.3221</v>
      </c>
    </row>
    <row r="155" spans="1:13">
      <c r="A155" t="s">
        <v>643</v>
      </c>
      <c r="B155" t="s">
        <v>642</v>
      </c>
      <c r="C155" t="s">
        <v>806</v>
      </c>
      <c r="D155" t="s">
        <v>302</v>
      </c>
      <c r="E155" t="s">
        <v>835</v>
      </c>
      <c r="F155" t="s">
        <v>30</v>
      </c>
      <c r="G155">
        <v>0.70040000000000002</v>
      </c>
      <c r="H155" t="s">
        <v>302</v>
      </c>
      <c r="I155">
        <v>0.71950000000000003</v>
      </c>
      <c r="J155">
        <v>15</v>
      </c>
      <c r="K155">
        <v>0.71960000000000002</v>
      </c>
      <c r="L155">
        <v>4.8999999999999998E-3</v>
      </c>
      <c r="M155">
        <v>0.32429999999999998</v>
      </c>
    </row>
    <row r="156" spans="1:13">
      <c r="A156" t="s">
        <v>644</v>
      </c>
      <c r="B156" t="s">
        <v>643</v>
      </c>
      <c r="C156" t="s">
        <v>809</v>
      </c>
      <c r="D156" t="s">
        <v>306</v>
      </c>
      <c r="E156" t="s">
        <v>835</v>
      </c>
      <c r="F156" t="s">
        <v>30</v>
      </c>
      <c r="G156">
        <v>0.69469999999999998</v>
      </c>
      <c r="H156" t="s">
        <v>306</v>
      </c>
      <c r="I156">
        <v>0.71750000000000003</v>
      </c>
      <c r="J156">
        <v>14</v>
      </c>
      <c r="K156">
        <v>0.71760000000000002</v>
      </c>
      <c r="L156">
        <v>3.5999999999999999E-3</v>
      </c>
      <c r="M156">
        <v>0.32719999999999999</v>
      </c>
    </row>
    <row r="157" spans="1:13">
      <c r="A157" t="s">
        <v>645</v>
      </c>
      <c r="B157" t="s">
        <v>644</v>
      </c>
      <c r="C157" t="s">
        <v>812</v>
      </c>
      <c r="D157" t="s">
        <v>71</v>
      </c>
      <c r="E157" t="s">
        <v>835</v>
      </c>
      <c r="F157" t="s">
        <v>30</v>
      </c>
      <c r="G157">
        <v>0.69230000000000003</v>
      </c>
      <c r="H157" t="s">
        <v>71</v>
      </c>
      <c r="I157">
        <v>0.71730000000000005</v>
      </c>
      <c r="J157">
        <v>13</v>
      </c>
      <c r="K157">
        <v>0.71730000000000005</v>
      </c>
      <c r="L157">
        <v>3.8999999999999998E-3</v>
      </c>
      <c r="M157">
        <v>0.3286</v>
      </c>
    </row>
    <row r="158" spans="1:13">
      <c r="A158" t="s">
        <v>646</v>
      </c>
      <c r="B158" t="s">
        <v>645</v>
      </c>
      <c r="C158" t="s">
        <v>811</v>
      </c>
      <c r="D158" t="s">
        <v>314</v>
      </c>
      <c r="E158" t="s">
        <v>835</v>
      </c>
      <c r="F158" t="s">
        <v>30</v>
      </c>
      <c r="G158">
        <v>0.69159999999999999</v>
      </c>
      <c r="H158" t="s">
        <v>314</v>
      </c>
      <c r="I158">
        <v>0.71389999999999998</v>
      </c>
      <c r="J158">
        <v>12</v>
      </c>
      <c r="K158">
        <v>0.71389999999999998</v>
      </c>
      <c r="L158">
        <v>4.4000000000000003E-3</v>
      </c>
      <c r="M158">
        <v>0.32869999999999999</v>
      </c>
    </row>
    <row r="159" spans="1:13">
      <c r="A159" t="s">
        <v>647</v>
      </c>
      <c r="B159" t="s">
        <v>646</v>
      </c>
      <c r="C159" t="s">
        <v>821</v>
      </c>
      <c r="D159" t="s">
        <v>297</v>
      </c>
      <c r="E159" t="s">
        <v>837</v>
      </c>
      <c r="F159" t="s">
        <v>297</v>
      </c>
      <c r="G159">
        <v>0.71260000000000001</v>
      </c>
      <c r="H159" t="s">
        <v>329</v>
      </c>
      <c r="I159">
        <v>0.71030000000000004</v>
      </c>
      <c r="J159">
        <v>11</v>
      </c>
      <c r="K159">
        <v>0.71260000000000001</v>
      </c>
      <c r="L159">
        <v>6.6E-3</v>
      </c>
      <c r="M159">
        <v>0.32269999999999999</v>
      </c>
    </row>
    <row r="160" spans="1:13">
      <c r="A160" t="s">
        <v>648</v>
      </c>
      <c r="B160" t="s">
        <v>647</v>
      </c>
      <c r="C160" t="s">
        <v>814</v>
      </c>
      <c r="D160" t="s">
        <v>35</v>
      </c>
      <c r="E160" t="s">
        <v>835</v>
      </c>
      <c r="F160" t="s">
        <v>30</v>
      </c>
      <c r="G160">
        <v>0.68610000000000004</v>
      </c>
      <c r="H160" t="s">
        <v>35</v>
      </c>
      <c r="I160">
        <v>0.71260000000000001</v>
      </c>
      <c r="J160">
        <v>10</v>
      </c>
      <c r="K160">
        <v>0.71260000000000001</v>
      </c>
      <c r="L160">
        <v>3.0000000000000001E-3</v>
      </c>
      <c r="M160">
        <v>0.32540000000000002</v>
      </c>
    </row>
    <row r="161" spans="1:13">
      <c r="A161" t="s">
        <v>649</v>
      </c>
      <c r="B161" t="s">
        <v>648</v>
      </c>
      <c r="C161" t="s">
        <v>813</v>
      </c>
      <c r="D161" t="s">
        <v>155</v>
      </c>
      <c r="E161" t="s">
        <v>835</v>
      </c>
      <c r="F161" t="s">
        <v>30</v>
      </c>
      <c r="G161">
        <v>0.67659999999999998</v>
      </c>
      <c r="H161" t="s">
        <v>155</v>
      </c>
      <c r="I161">
        <v>0.7016</v>
      </c>
      <c r="J161">
        <v>9</v>
      </c>
      <c r="K161">
        <v>0.7016</v>
      </c>
      <c r="L161">
        <v>3.8E-3</v>
      </c>
      <c r="M161">
        <v>0.32179999999999997</v>
      </c>
    </row>
    <row r="162" spans="1:13">
      <c r="A162" t="s">
        <v>650</v>
      </c>
      <c r="B162" t="s">
        <v>649</v>
      </c>
      <c r="C162" t="s">
        <v>815</v>
      </c>
      <c r="D162" t="s">
        <v>329</v>
      </c>
      <c r="E162" t="s">
        <v>835</v>
      </c>
      <c r="F162" t="s">
        <v>30</v>
      </c>
      <c r="G162">
        <v>0.66769999999999996</v>
      </c>
      <c r="H162" t="s">
        <v>329</v>
      </c>
      <c r="I162">
        <v>0.69589999999999996</v>
      </c>
      <c r="J162">
        <v>8</v>
      </c>
      <c r="K162">
        <v>0.69589999999999996</v>
      </c>
      <c r="L162">
        <v>2.3E-3</v>
      </c>
      <c r="M162">
        <v>0.32590000000000002</v>
      </c>
    </row>
    <row r="163" spans="1:13">
      <c r="A163" t="s">
        <v>651</v>
      </c>
      <c r="B163" t="s">
        <v>650</v>
      </c>
      <c r="C163" t="s">
        <v>816</v>
      </c>
      <c r="D163" t="s">
        <v>250</v>
      </c>
      <c r="E163" t="s">
        <v>835</v>
      </c>
      <c r="F163" t="s">
        <v>30</v>
      </c>
      <c r="G163">
        <v>0.65790000000000004</v>
      </c>
      <c r="H163" t="s">
        <v>250</v>
      </c>
      <c r="I163">
        <v>0.6895</v>
      </c>
      <c r="J163">
        <v>7</v>
      </c>
      <c r="K163">
        <v>0.6895</v>
      </c>
      <c r="L163">
        <v>5.7000000000000002E-3</v>
      </c>
      <c r="M163">
        <v>0.32640000000000002</v>
      </c>
    </row>
    <row r="164" spans="1:13">
      <c r="A164" t="s">
        <v>652</v>
      </c>
      <c r="B164" t="s">
        <v>651</v>
      </c>
      <c r="C164" t="s">
        <v>817</v>
      </c>
      <c r="D164" t="s">
        <v>226</v>
      </c>
      <c r="E164" t="s">
        <v>835</v>
      </c>
      <c r="F164" t="s">
        <v>30</v>
      </c>
      <c r="G164">
        <v>0.65180000000000005</v>
      </c>
      <c r="H164" t="s">
        <v>226</v>
      </c>
      <c r="I164">
        <v>0.68320000000000003</v>
      </c>
      <c r="J164">
        <v>6</v>
      </c>
      <c r="K164">
        <v>0.68320000000000003</v>
      </c>
      <c r="L164">
        <v>4.1000000000000003E-3</v>
      </c>
      <c r="M164">
        <v>0.32290000000000002</v>
      </c>
    </row>
    <row r="165" spans="1:13">
      <c r="A165" t="s">
        <v>653</v>
      </c>
      <c r="B165" t="s">
        <v>652</v>
      </c>
      <c r="C165" t="s">
        <v>838</v>
      </c>
      <c r="D165" t="s">
        <v>187</v>
      </c>
      <c r="E165" t="s">
        <v>837</v>
      </c>
      <c r="F165" t="s">
        <v>187</v>
      </c>
      <c r="G165">
        <v>0.65639999999999998</v>
      </c>
      <c r="H165" t="s">
        <v>336</v>
      </c>
      <c r="I165">
        <v>0.65129999999999999</v>
      </c>
      <c r="J165">
        <v>5</v>
      </c>
      <c r="K165">
        <v>0.65690000000000004</v>
      </c>
      <c r="L165">
        <v>6.0000000000000001E-3</v>
      </c>
      <c r="M165">
        <v>0.32300000000000001</v>
      </c>
    </row>
    <row r="166" spans="1:13">
      <c r="A166" t="s">
        <v>654</v>
      </c>
      <c r="B166" t="s">
        <v>653</v>
      </c>
      <c r="C166" t="s">
        <v>810</v>
      </c>
      <c r="D166" t="s">
        <v>336</v>
      </c>
      <c r="E166" t="s">
        <v>835</v>
      </c>
      <c r="F166" t="s">
        <v>107</v>
      </c>
      <c r="G166">
        <v>0.61270000000000002</v>
      </c>
      <c r="H166" t="s">
        <v>336</v>
      </c>
      <c r="I166">
        <v>0.62119999999999997</v>
      </c>
      <c r="J166">
        <v>4</v>
      </c>
      <c r="K166">
        <v>0.62119999999999997</v>
      </c>
      <c r="L166">
        <v>6.1999999999999998E-3</v>
      </c>
      <c r="M166">
        <v>0.30869999999999997</v>
      </c>
    </row>
    <row r="167" spans="1:13">
      <c r="A167" t="s">
        <v>655</v>
      </c>
      <c r="B167" t="s">
        <v>654</v>
      </c>
      <c r="C167" t="s">
        <v>818</v>
      </c>
      <c r="D167" t="s">
        <v>33</v>
      </c>
      <c r="E167" t="s">
        <v>835</v>
      </c>
      <c r="F167" t="s">
        <v>107</v>
      </c>
      <c r="G167">
        <v>0.56110000000000004</v>
      </c>
      <c r="H167" t="s">
        <v>33</v>
      </c>
      <c r="I167">
        <v>0.57579999999999998</v>
      </c>
      <c r="J167">
        <v>3</v>
      </c>
      <c r="K167">
        <v>0.57579999999999998</v>
      </c>
      <c r="L167">
        <v>4.1999999999999997E-3</v>
      </c>
      <c r="M167">
        <v>0.2525</v>
      </c>
    </row>
    <row r="168" spans="1:13">
      <c r="A168" t="s">
        <v>656</v>
      </c>
      <c r="B168" t="s">
        <v>655</v>
      </c>
      <c r="C168" t="s">
        <v>819</v>
      </c>
      <c r="D168" t="s">
        <v>237</v>
      </c>
      <c r="E168" t="s">
        <v>835</v>
      </c>
      <c r="F168" t="s">
        <v>30</v>
      </c>
      <c r="G168">
        <v>0.20710000000000001</v>
      </c>
      <c r="H168" t="s">
        <v>237</v>
      </c>
      <c r="I168">
        <v>0.5121</v>
      </c>
      <c r="J168">
        <v>2</v>
      </c>
      <c r="K168">
        <v>0.5121</v>
      </c>
      <c r="L168">
        <v>5.8999999999999999E-3</v>
      </c>
      <c r="M168">
        <v>0.25019999999999998</v>
      </c>
    </row>
    <row r="169" spans="1:13">
      <c r="A169" t="s">
        <v>839</v>
      </c>
      <c r="B169" t="s">
        <v>656</v>
      </c>
      <c r="C169" t="s">
        <v>820</v>
      </c>
      <c r="D169" t="s">
        <v>107</v>
      </c>
      <c r="E169" t="s">
        <v>835</v>
      </c>
      <c r="F169" t="s">
        <v>30</v>
      </c>
      <c r="G169">
        <v>0.12</v>
      </c>
      <c r="H169" t="s">
        <v>107</v>
      </c>
      <c r="I169">
        <v>0.42530000000000001</v>
      </c>
      <c r="J169">
        <v>1</v>
      </c>
      <c r="K169">
        <v>0.42530000000000001</v>
      </c>
      <c r="L169">
        <v>6.4000000000000003E-3</v>
      </c>
      <c r="M169">
        <v>0.1993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955D-9E40-4205-9613-C8A0420EAC8D}">
  <dimension ref="A1:B24"/>
  <sheetViews>
    <sheetView workbookViewId="0">
      <selection activeCell="A14" sqref="A14"/>
    </sheetView>
  </sheetViews>
  <sheetFormatPr defaultRowHeight="16.5"/>
  <cols>
    <col min="1" max="1" width="22.75" bestFit="1" customWidth="1"/>
    <col min="2" max="2" width="19" customWidth="1"/>
    <col min="3" max="3" width="11.25" bestFit="1" customWidth="1"/>
    <col min="4" max="4" width="14.75" bestFit="1" customWidth="1"/>
    <col min="5" max="5" width="14.375" bestFit="1" customWidth="1"/>
    <col min="6" max="6" width="10.5" bestFit="1" customWidth="1"/>
    <col min="7" max="7" width="11.625" bestFit="1" customWidth="1"/>
    <col min="8" max="8" width="13.375" bestFit="1" customWidth="1"/>
    <col min="9" max="9" width="11.625" bestFit="1" customWidth="1"/>
    <col min="10" max="10" width="22.75" bestFit="1" customWidth="1"/>
    <col min="11" max="11" width="13.75" bestFit="1" customWidth="1"/>
    <col min="12" max="12" width="11.625" bestFit="1" customWidth="1"/>
    <col min="13" max="13" width="9.625" bestFit="1" customWidth="1"/>
    <col min="14" max="14" width="16.625" bestFit="1" customWidth="1"/>
    <col min="15" max="15" width="9.625" bestFit="1" customWidth="1"/>
    <col min="16" max="16" width="14.375" bestFit="1" customWidth="1"/>
    <col min="17" max="19" width="9.625" bestFit="1" customWidth="1"/>
    <col min="20" max="22" width="14.375" bestFit="1" customWidth="1"/>
    <col min="23" max="23" width="11.625" bestFit="1" customWidth="1"/>
  </cols>
  <sheetData>
    <row r="1" spans="1:2">
      <c r="A1" t="s">
        <v>548</v>
      </c>
      <c r="B1" t="s">
        <v>549</v>
      </c>
    </row>
    <row r="2" spans="1:2">
      <c r="A2" t="s">
        <v>112</v>
      </c>
      <c r="B2">
        <v>1</v>
      </c>
    </row>
    <row r="3" spans="1:2">
      <c r="A3" t="s">
        <v>27</v>
      </c>
      <c r="B3">
        <v>2</v>
      </c>
    </row>
    <row r="4" spans="1:2">
      <c r="A4" t="s">
        <v>80</v>
      </c>
      <c r="B4">
        <v>3</v>
      </c>
    </row>
    <row r="5" spans="1:2">
      <c r="A5" t="s">
        <v>154</v>
      </c>
      <c r="B5">
        <v>4</v>
      </c>
    </row>
    <row r="6" spans="1:2">
      <c r="A6" t="s">
        <v>65</v>
      </c>
      <c r="B6">
        <v>5</v>
      </c>
    </row>
    <row r="7" spans="1:2">
      <c r="A7" t="s">
        <v>106</v>
      </c>
      <c r="B7">
        <v>6</v>
      </c>
    </row>
    <row r="8" spans="1:2">
      <c r="A8" t="s">
        <v>328</v>
      </c>
      <c r="B8">
        <v>7</v>
      </c>
    </row>
    <row r="9" spans="1:2">
      <c r="A9" t="s">
        <v>52</v>
      </c>
      <c r="B9">
        <v>8</v>
      </c>
    </row>
    <row r="10" spans="1:2">
      <c r="A10" t="s">
        <v>236</v>
      </c>
      <c r="B10">
        <v>9</v>
      </c>
    </row>
    <row r="11" spans="1:2">
      <c r="A11" t="s">
        <v>183</v>
      </c>
      <c r="B11">
        <v>10</v>
      </c>
    </row>
    <row r="12" spans="1:2">
      <c r="A12" t="s">
        <v>19</v>
      </c>
      <c r="B12">
        <v>11</v>
      </c>
    </row>
    <row r="13" spans="1:2">
      <c r="A13" t="s">
        <v>62</v>
      </c>
      <c r="B13">
        <v>12</v>
      </c>
    </row>
    <row r="14" spans="1:2">
      <c r="A14" t="s">
        <v>338</v>
      </c>
      <c r="B14">
        <v>13</v>
      </c>
    </row>
    <row r="15" spans="1:2">
      <c r="A15" t="s">
        <v>108</v>
      </c>
      <c r="B15">
        <v>14</v>
      </c>
    </row>
    <row r="16" spans="1:2">
      <c r="A16" t="s">
        <v>70</v>
      </c>
      <c r="B16">
        <v>15</v>
      </c>
    </row>
    <row r="17" spans="1:2">
      <c r="A17" t="s">
        <v>10</v>
      </c>
      <c r="B17" t="s">
        <v>551</v>
      </c>
    </row>
    <row r="18" spans="1:2">
      <c r="A18" t="s">
        <v>125</v>
      </c>
      <c r="B18" t="s">
        <v>551</v>
      </c>
    </row>
    <row r="19" spans="1:2">
      <c r="A19" t="s">
        <v>191</v>
      </c>
      <c r="B19" t="s">
        <v>551</v>
      </c>
    </row>
    <row r="20" spans="1:2">
      <c r="A20" t="s">
        <v>196</v>
      </c>
      <c r="B20" t="s">
        <v>551</v>
      </c>
    </row>
    <row r="21" spans="1:2">
      <c r="A21" t="s">
        <v>206</v>
      </c>
      <c r="B21" t="s">
        <v>551</v>
      </c>
    </row>
    <row r="22" spans="1:2">
      <c r="A22" t="s">
        <v>296</v>
      </c>
      <c r="B22" t="s">
        <v>551</v>
      </c>
    </row>
    <row r="23" spans="1:2">
      <c r="A23" t="s">
        <v>326</v>
      </c>
      <c r="B23" t="s">
        <v>551</v>
      </c>
    </row>
    <row r="24" spans="1:2">
      <c r="A24" t="s">
        <v>335</v>
      </c>
      <c r="B24" t="s">
        <v>551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9CA9-1E82-41E8-8DE5-22F4082C185F}">
  <dimension ref="A1:A17"/>
  <sheetViews>
    <sheetView workbookViewId="0">
      <selection activeCell="C11" sqref="C11"/>
    </sheetView>
  </sheetViews>
  <sheetFormatPr defaultRowHeight="16.5"/>
  <cols>
    <col min="1" max="1" width="35" bestFit="1" customWidth="1"/>
  </cols>
  <sheetData>
    <row r="1" spans="1:1">
      <c r="A1" s="8" t="s">
        <v>522</v>
      </c>
    </row>
    <row r="2" spans="1:1">
      <c r="A2" s="8" t="s">
        <v>523</v>
      </c>
    </row>
    <row r="3" spans="1:1">
      <c r="A3" s="8" t="s">
        <v>524</v>
      </c>
    </row>
    <row r="4" spans="1:1">
      <c r="A4" s="8" t="s">
        <v>525</v>
      </c>
    </row>
    <row r="5" spans="1:1">
      <c r="A5" s="8" t="s">
        <v>526</v>
      </c>
    </row>
    <row r="6" spans="1:1">
      <c r="A6" s="8" t="s">
        <v>527</v>
      </c>
    </row>
    <row r="7" spans="1:1">
      <c r="A7" s="8" t="s">
        <v>528</v>
      </c>
    </row>
    <row r="8" spans="1:1">
      <c r="A8" s="8" t="s">
        <v>529</v>
      </c>
    </row>
    <row r="9" spans="1:1">
      <c r="A9" s="19" t="s">
        <v>530</v>
      </c>
    </row>
    <row r="10" spans="1:1">
      <c r="A10" s="19" t="s">
        <v>531</v>
      </c>
    </row>
    <row r="11" spans="1:1">
      <c r="A11" s="74" t="s">
        <v>532</v>
      </c>
    </row>
    <row r="12" spans="1:1">
      <c r="A12" s="75" t="s">
        <v>533</v>
      </c>
    </row>
    <row r="13" spans="1:1">
      <c r="A13" s="19" t="s">
        <v>534</v>
      </c>
    </row>
    <row r="14" spans="1:1">
      <c r="A14" s="19"/>
    </row>
    <row r="16" spans="1:1" ht="21.75">
      <c r="A16" s="6"/>
    </row>
    <row r="17" spans="1:1">
      <c r="A17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all_features</vt:lpstr>
      <vt:lpstr>cat</vt:lpstr>
      <vt:lpstr>log</vt:lpstr>
      <vt:lpstr>log2</vt:lpstr>
      <vt:lpstr>log3</vt:lpstr>
      <vt:lpstr>forward_log</vt:lpstr>
      <vt:lpstr>rev_rfe_test</vt:lpstr>
      <vt:lpstr>backward_test</vt:lpstr>
      <vt:lpstr>test3</vt:lpstr>
      <vt:lpstr>group</vt:lpstr>
      <vt:lpstr>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 J</cp:lastModifiedBy>
  <dcterms:created xsi:type="dcterms:W3CDTF">2026-04-29T02:50:52Z</dcterms:created>
  <dcterms:modified xsi:type="dcterms:W3CDTF">2026-05-03T04:41:37Z</dcterms:modified>
</cp:coreProperties>
</file>